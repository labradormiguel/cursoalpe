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5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iguel\Documents\POO\m1\unidad3\Practicas\20191115\"/>
    </mc:Choice>
  </mc:AlternateContent>
  <bookViews>
    <workbookView xWindow="0" yWindow="0" windowWidth="28800" windowHeight="12330" activeTab="5"/>
  </bookViews>
  <sheets>
    <sheet name="Hoja1" sheetId="1" r:id="rId1"/>
    <sheet name="Hoja2" sheetId="2" r:id="rId2"/>
    <sheet name="Ejercicio 1" sheetId="3" r:id="rId3"/>
    <sheet name="Ejercicio 2" sheetId="4" r:id="rId4"/>
    <sheet name="Ejercicio 3" sheetId="5" r:id="rId5"/>
    <sheet name="Hoja6" sheetId="6" r:id="rId6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2" i="6" l="1"/>
  <c r="G24" i="6" s="1"/>
  <c r="G10" i="5"/>
  <c r="G12" i="5" s="1"/>
  <c r="G15" i="5" s="1"/>
  <c r="F4" i="4"/>
  <c r="G4" i="4" s="1"/>
  <c r="F5" i="4"/>
  <c r="G5" i="4" s="1"/>
  <c r="F6" i="4"/>
  <c r="G6" i="4" s="1"/>
  <c r="F3" i="4"/>
  <c r="G3" i="4" s="1"/>
  <c r="E4" i="4"/>
  <c r="E5" i="4"/>
  <c r="E6" i="4"/>
  <c r="E3" i="4"/>
  <c r="G6" i="3"/>
</calcChain>
</file>

<file path=xl/sharedStrings.xml><?xml version="1.0" encoding="utf-8"?>
<sst xmlns="http://schemas.openxmlformats.org/spreadsheetml/2006/main" count="77" uniqueCount="51">
  <si>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</si>
  <si>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</si>
  <si>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</si>
  <si>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</si>
  <si>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</si>
  <si>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</si>
  <si>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</si>
  <si>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</si>
  <si>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</si>
  <si>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</si>
  <si>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</si>
  <si>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</si>
  <si>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Invierno</t>
  </si>
  <si>
    <t>Primavera</t>
  </si>
  <si>
    <t>Verano</t>
  </si>
  <si>
    <t>Otoño</t>
  </si>
  <si>
    <t>Cantidad</t>
  </si>
  <si>
    <t>Precio</t>
  </si>
  <si>
    <t>Total</t>
  </si>
  <si>
    <t>Producto</t>
  </si>
  <si>
    <t>Valor</t>
  </si>
  <si>
    <t>Descuento</t>
  </si>
  <si>
    <t>Valor a pagar</t>
  </si>
  <si>
    <t>Ratón</t>
  </si>
  <si>
    <t>CPU</t>
  </si>
  <si>
    <t>Monitor</t>
  </si>
  <si>
    <t>Teclado</t>
  </si>
  <si>
    <t>Cotización del Artículo: colores</t>
  </si>
  <si>
    <t>Seleccione su color</t>
  </si>
  <si>
    <t>precio unitario</t>
  </si>
  <si>
    <t>SUBTOTAL</t>
  </si>
  <si>
    <t>Dcto. Volumen</t>
  </si>
  <si>
    <t>Dcto. Pronto Pago</t>
  </si>
  <si>
    <t>TOTAL</t>
  </si>
  <si>
    <t>Color</t>
  </si>
  <si>
    <t>Amarillo</t>
  </si>
  <si>
    <t>Azul</t>
  </si>
  <si>
    <t>Negro</t>
  </si>
  <si>
    <t>Rojo</t>
  </si>
  <si>
    <t>Verde</t>
  </si>
  <si>
    <t>Niños menores de 2 años ¡¡GRATIS!!</t>
  </si>
  <si>
    <t>Cantidad a pagar:</t>
  </si>
  <si>
    <t>Incremento por comidas:</t>
  </si>
  <si>
    <t>Tipo de habitación:</t>
  </si>
  <si>
    <t>Subtotal:</t>
  </si>
  <si>
    <t>Incremento por niños:</t>
  </si>
  <si>
    <t>TOTAL:</t>
  </si>
  <si>
    <t>doble</t>
  </si>
  <si>
    <t>doble uso individual</t>
  </si>
  <si>
    <t>individual</t>
  </si>
  <si>
    <t>suite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</si>
</sst>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6" formatCode="#,##0.00\ &quot;€&quot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1"/>
      <color theme="1"/>
      <name val="Arial Black"/>
      <family val="2"/>
    </font>
    <font>
      <b/>
      <sz val="14"/>
      <color theme="1"/>
      <name val="Calibri"/>
      <family val="2"/>
      <scheme val="minor"/>
    </font>
    <font>
      <u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2" fontId="0" fillId="0" borderId="0" xfId="0" applyNumberFormat="1"/>
    <xf numFmtId="0" fontId="3" fillId="2" borderId="0" xfId="0" applyFont="1" applyFill="1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0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1" fillId="3" borderId="1" xfId="0" applyFont="1" applyFill="1" applyBorder="1"/>
    <xf numFmtId="0" fontId="1" fillId="3" borderId="2" xfId="0" applyFont="1" applyFill="1" applyBorder="1"/>
    <xf numFmtId="0" fontId="1" fillId="3" borderId="3" xfId="0" applyFont="1" applyFill="1" applyBorder="1"/>
    <xf numFmtId="2" fontId="0" fillId="3" borderId="5" xfId="0" applyNumberFormat="1" applyFill="1" applyBorder="1"/>
    <xf numFmtId="2" fontId="0" fillId="3" borderId="0" xfId="0" applyNumberFormat="1" applyFill="1" applyBorder="1"/>
    <xf numFmtId="2" fontId="0" fillId="3" borderId="10" xfId="0" applyNumberFormat="1" applyFill="1" applyBorder="1"/>
    <xf numFmtId="0" fontId="0" fillId="4" borderId="0" xfId="0" applyFill="1" applyBorder="1"/>
    <xf numFmtId="9" fontId="0" fillId="3" borderId="0" xfId="0" applyNumberFormat="1" applyFill="1" applyBorder="1"/>
    <xf numFmtId="2" fontId="0" fillId="3" borderId="6" xfId="0" applyNumberFormat="1" applyFill="1" applyBorder="1"/>
    <xf numFmtId="2" fontId="0" fillId="3" borderId="8" xfId="0" applyNumberFormat="1" applyFill="1" applyBorder="1"/>
    <xf numFmtId="2" fontId="0" fillId="3" borderId="11" xfId="0" applyNumberFormat="1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0" xfId="0" applyFill="1" applyBorder="1"/>
    <xf numFmtId="0" fontId="0" fillId="5" borderId="8" xfId="0" applyFill="1" applyBorder="1"/>
    <xf numFmtId="0" fontId="0" fillId="5" borderId="9" xfId="0" applyFill="1" applyBorder="1"/>
    <xf numFmtId="0" fontId="0" fillId="5" borderId="10" xfId="0" applyFill="1" applyBorder="1"/>
    <xf numFmtId="0" fontId="0" fillId="5" borderId="11" xfId="0" applyFill="1" applyBorder="1"/>
    <xf numFmtId="0" fontId="4" fillId="0" borderId="0" xfId="0" applyFont="1" applyAlignment="1">
      <alignment horizontal="center"/>
    </xf>
    <xf numFmtId="0" fontId="5" fillId="5" borderId="7" xfId="0" applyFont="1" applyFill="1" applyBorder="1" applyAlignment="1">
      <alignment horizontal="center"/>
    </xf>
    <xf numFmtId="0" fontId="5" fillId="5" borderId="0" xfId="0" applyFont="1" applyFill="1" applyBorder="1" applyAlignment="1">
      <alignment horizontal="center"/>
    </xf>
    <xf numFmtId="3" fontId="0" fillId="5" borderId="0" xfId="0" applyNumberFormat="1" applyFill="1" applyBorder="1"/>
    <xf numFmtId="0" fontId="6" fillId="5" borderId="0" xfId="0" applyFont="1" applyFill="1" applyBorder="1" applyAlignment="1">
      <alignment horizontal="center"/>
    </xf>
    <xf numFmtId="3" fontId="0" fillId="5" borderId="2" xfId="0" applyNumberFormat="1" applyFill="1" applyBorder="1"/>
    <xf numFmtId="3" fontId="0" fillId="5" borderId="12" xfId="0" applyNumberFormat="1" applyFill="1" applyBorder="1"/>
    <xf numFmtId="0" fontId="7" fillId="0" borderId="0" xfId="0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left"/>
    </xf>
    <xf numFmtId="0" fontId="6" fillId="5" borderId="0" xfId="0" applyFont="1" applyFill="1" applyBorder="1"/>
    <xf numFmtId="0" fontId="1" fillId="5" borderId="0" xfId="0" applyFont="1" applyFill="1" applyBorder="1" applyAlignment="1">
      <alignment horizontal="left"/>
    </xf>
    <xf numFmtId="166" fontId="0" fillId="3" borderId="0" xfId="0" applyNumberFormat="1" applyFill="1" applyBorder="1"/>
    <xf numFmtId="166" fontId="0" fillId="4" borderId="0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4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5" Type="http://schemas.openxmlformats.org/officeDocument/2006/relationships/image" Target="../media/image12.emf"/><Relationship Id="rId4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Relationship Id="rId6" Type="http://schemas.openxmlformats.org/officeDocument/2006/relationships/image" Target="../media/image17.emf"/><Relationship Id="rId5" Type="http://schemas.openxmlformats.org/officeDocument/2006/relationships/image" Target="../media/image18.emf"/><Relationship Id="rId4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38101</xdr:colOff>
          <xdr:row>2</xdr:row>
          <xdr:rowOff>9524</xdr:rowOff>
        </xdr:from>
        <xdr:to>
          <xdr:col>6</xdr:col>
          <xdr:colOff>0</xdr:colOff>
          <xdr:row>3</xdr:row>
          <xdr:rowOff>47625</xdr:rowOff>
        </xdr:to>
        <xdr:sp macro="" textlink="">
          <xdr:nvSpPr>
            <xdr:cNvPr id="1026" name="ComboBox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6</xdr:row>
          <xdr:rowOff>9525</xdr:rowOff>
        </xdr:from>
        <xdr:to>
          <xdr:col>6</xdr:col>
          <xdr:colOff>95250</xdr:colOff>
          <xdr:row>7</xdr:row>
          <xdr:rowOff>133350</xdr:rowOff>
        </xdr:to>
        <xdr:sp macro="" textlink="">
          <xdr:nvSpPr>
            <xdr:cNvPr id="1027" name="OptionButton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7</xdr:row>
          <xdr:rowOff>123825</xdr:rowOff>
        </xdr:from>
        <xdr:to>
          <xdr:col>6</xdr:col>
          <xdr:colOff>95250</xdr:colOff>
          <xdr:row>9</xdr:row>
          <xdr:rowOff>19050</xdr:rowOff>
        </xdr:to>
        <xdr:sp macro="" textlink="">
          <xdr:nvSpPr>
            <xdr:cNvPr id="1028" name="OptionButton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247650</xdr:colOff>
          <xdr:row>11</xdr:row>
          <xdr:rowOff>161925</xdr:rowOff>
        </xdr:from>
        <xdr:to>
          <xdr:col>6</xdr:col>
          <xdr:colOff>95250</xdr:colOff>
          <xdr:row>13</xdr:row>
          <xdr:rowOff>47625</xdr:rowOff>
        </xdr:to>
        <xdr:sp macro="" textlink="">
          <xdr:nvSpPr>
            <xdr:cNvPr id="1029" name="CheckBox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247650</xdr:colOff>
          <xdr:row>13</xdr:row>
          <xdr:rowOff>123825</xdr:rowOff>
        </xdr:from>
        <xdr:to>
          <xdr:col>6</xdr:col>
          <xdr:colOff>95250</xdr:colOff>
          <xdr:row>15</xdr:row>
          <xdr:rowOff>9525</xdr:rowOff>
        </xdr:to>
        <xdr:sp macro="" textlink="">
          <xdr:nvSpPr>
            <xdr:cNvPr id="1030" name="CheckBox2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5</xdr:row>
          <xdr:rowOff>28575</xdr:rowOff>
        </xdr:from>
        <xdr:to>
          <xdr:col>3</xdr:col>
          <xdr:colOff>114300</xdr:colOff>
          <xdr:row>6</xdr:row>
          <xdr:rowOff>142875</xdr:rowOff>
        </xdr:to>
        <xdr:sp macro="" textlink="">
          <xdr:nvSpPr>
            <xdr:cNvPr id="1032" name="CommandButton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342900</xdr:colOff>
          <xdr:row>9</xdr:row>
          <xdr:rowOff>66675</xdr:rowOff>
        </xdr:to>
        <xdr:sp macro="" textlink="">
          <xdr:nvSpPr>
            <xdr:cNvPr id="3073" name="ComboBox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561975</xdr:colOff>
          <xdr:row>7</xdr:row>
          <xdr:rowOff>180975</xdr:rowOff>
        </xdr:from>
        <xdr:to>
          <xdr:col>2</xdr:col>
          <xdr:colOff>714375</xdr:colOff>
          <xdr:row>9</xdr:row>
          <xdr:rowOff>28575</xdr:rowOff>
        </xdr:to>
        <xdr:sp macro="" textlink="">
          <xdr:nvSpPr>
            <xdr:cNvPr id="4097" name="lbl_descuento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628650</xdr:colOff>
          <xdr:row>12</xdr:row>
          <xdr:rowOff>19050</xdr:rowOff>
        </xdr:from>
        <xdr:to>
          <xdr:col>4</xdr:col>
          <xdr:colOff>371475</xdr:colOff>
          <xdr:row>13</xdr:row>
          <xdr:rowOff>95250</xdr:rowOff>
        </xdr:to>
        <xdr:sp macro="" textlink="">
          <xdr:nvSpPr>
            <xdr:cNvPr id="4099" name="opt_domingo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628650</xdr:colOff>
          <xdr:row>13</xdr:row>
          <xdr:rowOff>114300</xdr:rowOff>
        </xdr:from>
        <xdr:to>
          <xdr:col>4</xdr:col>
          <xdr:colOff>371475</xdr:colOff>
          <xdr:row>15</xdr:row>
          <xdr:rowOff>0</xdr:rowOff>
        </xdr:to>
        <xdr:sp macro="" textlink="">
          <xdr:nvSpPr>
            <xdr:cNvPr id="4100" name="opt_lunes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628649</xdr:colOff>
          <xdr:row>15</xdr:row>
          <xdr:rowOff>19050</xdr:rowOff>
        </xdr:from>
        <xdr:to>
          <xdr:col>4</xdr:col>
          <xdr:colOff>371474</xdr:colOff>
          <xdr:row>16</xdr:row>
          <xdr:rowOff>95250</xdr:rowOff>
        </xdr:to>
        <xdr:sp macro="" textlink="">
          <xdr:nvSpPr>
            <xdr:cNvPr id="4101" name="opt_resto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5</xdr:row>
          <xdr:rowOff>142875</xdr:rowOff>
        </xdr:from>
        <xdr:to>
          <xdr:col>3</xdr:col>
          <xdr:colOff>136525</xdr:colOff>
          <xdr:row>7</xdr:row>
          <xdr:rowOff>3175</xdr:rowOff>
        </xdr:to>
        <xdr:sp macro="" textlink="">
          <xdr:nvSpPr>
            <xdr:cNvPr id="5121" name="cmb_colores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508001</xdr:colOff>
          <xdr:row>9</xdr:row>
          <xdr:rowOff>104775</xdr:rowOff>
        </xdr:from>
        <xdr:to>
          <xdr:col>2</xdr:col>
          <xdr:colOff>612776</xdr:colOff>
          <xdr:row>10</xdr:row>
          <xdr:rowOff>180975</xdr:rowOff>
        </xdr:to>
        <xdr:sp macro="" textlink="">
          <xdr:nvSpPr>
            <xdr:cNvPr id="5122" name="opt_efectivo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504826</xdr:colOff>
          <xdr:row>10</xdr:row>
          <xdr:rowOff>180975</xdr:rowOff>
        </xdr:from>
        <xdr:to>
          <xdr:col>2</xdr:col>
          <xdr:colOff>609601</xdr:colOff>
          <xdr:row>12</xdr:row>
          <xdr:rowOff>19050</xdr:rowOff>
        </xdr:to>
        <xdr:sp macro="" textlink="">
          <xdr:nvSpPr>
            <xdr:cNvPr id="5123" name="opt_30dias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12</xdr:row>
          <xdr:rowOff>19050</xdr:rowOff>
        </xdr:from>
        <xdr:to>
          <xdr:col>2</xdr:col>
          <xdr:colOff>609600</xdr:colOff>
          <xdr:row>13</xdr:row>
          <xdr:rowOff>95250</xdr:rowOff>
        </xdr:to>
        <xdr:sp macro="" textlink="">
          <xdr:nvSpPr>
            <xdr:cNvPr id="5124" name="opt_tarjeta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180975</xdr:colOff>
          <xdr:row>12</xdr:row>
          <xdr:rowOff>133350</xdr:rowOff>
        </xdr:from>
        <xdr:to>
          <xdr:col>4</xdr:col>
          <xdr:colOff>342900</xdr:colOff>
          <xdr:row>14</xdr:row>
          <xdr:rowOff>76200</xdr:rowOff>
        </xdr:to>
        <xdr:sp macro="" textlink="">
          <xdr:nvSpPr>
            <xdr:cNvPr id="5126" name="spn_cantidad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526457</xdr:colOff>
      <xdr:row>0</xdr:row>
      <xdr:rowOff>178885</xdr:rowOff>
    </xdr:from>
    <xdr:ext cx="6598243" cy="937629"/>
    <xdr:sp macro="" textlink="">
      <xdr:nvSpPr>
        <xdr:cNvPr id="2" name="Rectángulo 1"/>
        <xdr:cNvSpPr/>
      </xdr:nvSpPr>
      <xdr:spPr>
        <a:xfrm>
          <a:off x="526457" y="178885"/>
          <a:ext cx="6598243" cy="937629"/>
        </a:xfrm>
        <a:prstGeom prst="rect">
          <a:avLst/>
        </a:prstGeom>
        <a:noFill/>
        <a:effectLst>
          <a:innerShdw blurRad="63500" dist="50800" dir="5400000">
            <a:prstClr val="black">
              <a:alpha val="50000"/>
            </a:prstClr>
          </a:innerShdw>
        </a:effectLst>
        <a:scene3d>
          <a:camera prst="orthographicFront">
            <a:rot lat="0" lon="0" rev="0"/>
          </a:camera>
          <a:lightRig rig="threePt" dir="t"/>
        </a:scene3d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5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Hotel Macro de Excel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9</xdr:row>
          <xdr:rowOff>9525</xdr:rowOff>
        </xdr:from>
        <xdr:to>
          <xdr:col>3</xdr:col>
          <xdr:colOff>165100</xdr:colOff>
          <xdr:row>10</xdr:row>
          <xdr:rowOff>47625</xdr:rowOff>
        </xdr:to>
        <xdr:sp macro="" textlink="">
          <xdr:nvSpPr>
            <xdr:cNvPr id="6145" name="cmb_habitacion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13</xdr:row>
          <xdr:rowOff>9525</xdr:rowOff>
        </xdr:from>
        <xdr:to>
          <xdr:col>3</xdr:col>
          <xdr:colOff>266700</xdr:colOff>
          <xdr:row>14</xdr:row>
          <xdr:rowOff>85725</xdr:rowOff>
        </xdr:to>
        <xdr:sp macro="" textlink="">
          <xdr:nvSpPr>
            <xdr:cNvPr id="6146" name="opt_desayuno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14</xdr:row>
          <xdr:rowOff>152400</xdr:rowOff>
        </xdr:from>
        <xdr:to>
          <xdr:col>3</xdr:col>
          <xdr:colOff>266700</xdr:colOff>
          <xdr:row>16</xdr:row>
          <xdr:rowOff>38100</xdr:rowOff>
        </xdr:to>
        <xdr:sp macro="" textlink="">
          <xdr:nvSpPr>
            <xdr:cNvPr id="6147" name="opt_completa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16</xdr:row>
          <xdr:rowOff>104775</xdr:rowOff>
        </xdr:from>
        <xdr:to>
          <xdr:col>3</xdr:col>
          <xdr:colOff>266700</xdr:colOff>
          <xdr:row>17</xdr:row>
          <xdr:rowOff>180975</xdr:rowOff>
        </xdr:to>
        <xdr:sp macro="" textlink="">
          <xdr:nvSpPr>
            <xdr:cNvPr id="6148" name="opt_almuerzo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18</xdr:row>
          <xdr:rowOff>66675</xdr:rowOff>
        </xdr:from>
        <xdr:to>
          <xdr:col>3</xdr:col>
          <xdr:colOff>266700</xdr:colOff>
          <xdr:row>19</xdr:row>
          <xdr:rowOff>142875</xdr:rowOff>
        </xdr:to>
        <xdr:sp macro="" textlink="">
          <xdr:nvSpPr>
            <xdr:cNvPr id="6149" name="opt_cena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12</xdr:row>
          <xdr:rowOff>0</xdr:rowOff>
        </xdr:from>
        <xdr:to>
          <xdr:col>5</xdr:col>
          <xdr:colOff>1524000</xdr:colOff>
          <xdr:row>13</xdr:row>
          <xdr:rowOff>76200</xdr:rowOff>
        </xdr:to>
        <xdr:sp macro="" textlink="">
          <xdr:nvSpPr>
            <xdr:cNvPr id="6150" name="chk_ninosmayores2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control" Target="../activeX/activeX8.xml"/><Relationship Id="rId7" Type="http://schemas.openxmlformats.org/officeDocument/2006/relationships/control" Target="../activeX/activeX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9.emf"/><Relationship Id="rId5" Type="http://schemas.openxmlformats.org/officeDocument/2006/relationships/control" Target="../activeX/activeX9.xml"/><Relationship Id="rId10" Type="http://schemas.openxmlformats.org/officeDocument/2006/relationships/image" Target="../media/image11.emf"/><Relationship Id="rId4" Type="http://schemas.openxmlformats.org/officeDocument/2006/relationships/image" Target="../media/image8.emf"/><Relationship Id="rId9" Type="http://schemas.openxmlformats.org/officeDocument/2006/relationships/control" Target="../activeX/activeX1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12" Type="http://schemas.openxmlformats.org/officeDocument/2006/relationships/image" Target="../media/image16.emf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3.emf"/><Relationship Id="rId11" Type="http://schemas.openxmlformats.org/officeDocument/2006/relationships/control" Target="../activeX/activeX16.xml"/><Relationship Id="rId5" Type="http://schemas.openxmlformats.org/officeDocument/2006/relationships/control" Target="../activeX/activeX13.xml"/><Relationship Id="rId10" Type="http://schemas.openxmlformats.org/officeDocument/2006/relationships/image" Target="../media/image15.emf"/><Relationship Id="rId4" Type="http://schemas.openxmlformats.org/officeDocument/2006/relationships/image" Target="../media/image12.emf"/><Relationship Id="rId9" Type="http://schemas.openxmlformats.org/officeDocument/2006/relationships/control" Target="../activeX/activeX1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13" Type="http://schemas.openxmlformats.org/officeDocument/2006/relationships/control" Target="../activeX/activeX22.xml"/><Relationship Id="rId3" Type="http://schemas.openxmlformats.org/officeDocument/2006/relationships/control" Target="../activeX/activeX17.xml"/><Relationship Id="rId7" Type="http://schemas.openxmlformats.org/officeDocument/2006/relationships/control" Target="../activeX/activeX19.xml"/><Relationship Id="rId12" Type="http://schemas.openxmlformats.org/officeDocument/2006/relationships/image" Target="../media/image21.emf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18.emf"/><Relationship Id="rId11" Type="http://schemas.openxmlformats.org/officeDocument/2006/relationships/control" Target="../activeX/activeX21.xml"/><Relationship Id="rId5" Type="http://schemas.openxmlformats.org/officeDocument/2006/relationships/control" Target="../activeX/activeX18.xml"/><Relationship Id="rId10" Type="http://schemas.openxmlformats.org/officeDocument/2006/relationships/image" Target="../media/image20.emf"/><Relationship Id="rId4" Type="http://schemas.openxmlformats.org/officeDocument/2006/relationships/image" Target="../media/image17.emf"/><Relationship Id="rId9" Type="http://schemas.openxmlformats.org/officeDocument/2006/relationships/control" Target="../activeX/activeX20.xml"/><Relationship Id="rId14" Type="http://schemas.openxmlformats.org/officeDocument/2006/relationships/image" Target="../media/image2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C1"/>
  <sheetViews>
    <sheetView workbookViewId="0">
      <selection activeCell="H6" sqref="H6"/>
    </sheetView>
  </sheetViews>
  <sheetFormatPr baseColWidth="10" defaultRowHeight="15" x14ac:dyDescent="0.25"/>
  <sheetData>
    <row r="1" spans="3:3" x14ac:dyDescent="0.25">
      <c r="C1" t="s">
        <v>14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32" r:id="rId4" name="CommandButton1">
          <controlPr autoLine="0" r:id="rId5">
            <anchor moveWithCells="1">
              <from>
                <xdr:col>1</xdr:col>
                <xdr:colOff>723900</xdr:colOff>
                <xdr:row>5</xdr:row>
                <xdr:rowOff>28575</xdr:rowOff>
              </from>
              <to>
                <xdr:col>3</xdr:col>
                <xdr:colOff>114300</xdr:colOff>
                <xdr:row>6</xdr:row>
                <xdr:rowOff>142875</xdr:rowOff>
              </to>
            </anchor>
          </controlPr>
        </control>
      </mc:Choice>
      <mc:Fallback>
        <control shapeId="1032" r:id="rId4" name="CommandButton1"/>
      </mc:Fallback>
    </mc:AlternateContent>
    <mc:AlternateContent xmlns:mc="http://schemas.openxmlformats.org/markup-compatibility/2006">
      <mc:Choice Requires="x14">
        <control shapeId="1030" r:id="rId6" name="CheckBox2">
          <controlPr autoLine="0" r:id="rId7">
            <anchor moveWithCells="1">
              <from>
                <xdr:col>4</xdr:col>
                <xdr:colOff>247650</xdr:colOff>
                <xdr:row>13</xdr:row>
                <xdr:rowOff>123825</xdr:rowOff>
              </from>
              <to>
                <xdr:col>6</xdr:col>
                <xdr:colOff>95250</xdr:colOff>
                <xdr:row>15</xdr:row>
                <xdr:rowOff>9525</xdr:rowOff>
              </to>
            </anchor>
          </controlPr>
        </control>
      </mc:Choice>
      <mc:Fallback>
        <control shapeId="1030" r:id="rId6" name="CheckBox2"/>
      </mc:Fallback>
    </mc:AlternateContent>
    <mc:AlternateContent xmlns:mc="http://schemas.openxmlformats.org/markup-compatibility/2006">
      <mc:Choice Requires="x14">
        <control shapeId="1029" r:id="rId8" name="CheckBox1">
          <controlPr autoLine="0" r:id="rId9">
            <anchor moveWithCells="1">
              <from>
                <xdr:col>4</xdr:col>
                <xdr:colOff>247650</xdr:colOff>
                <xdr:row>11</xdr:row>
                <xdr:rowOff>161925</xdr:rowOff>
              </from>
              <to>
                <xdr:col>6</xdr:col>
                <xdr:colOff>95250</xdr:colOff>
                <xdr:row>13</xdr:row>
                <xdr:rowOff>47625</xdr:rowOff>
              </to>
            </anchor>
          </controlPr>
        </control>
      </mc:Choice>
      <mc:Fallback>
        <control shapeId="1029" r:id="rId8" name="CheckBox1"/>
      </mc:Fallback>
    </mc:AlternateContent>
    <mc:AlternateContent xmlns:mc="http://schemas.openxmlformats.org/markup-compatibility/2006">
      <mc:Choice Requires="x14">
        <control shapeId="1028" r:id="rId10" name="OptionButton2">
          <controlPr defaultSize="0" autoLine="0" autoPict="0" r:id="rId11">
            <anchor moveWithCells="1">
              <from>
                <xdr:col>4</xdr:col>
                <xdr:colOff>47625</xdr:colOff>
                <xdr:row>7</xdr:row>
                <xdr:rowOff>123825</xdr:rowOff>
              </from>
              <to>
                <xdr:col>6</xdr:col>
                <xdr:colOff>95250</xdr:colOff>
                <xdr:row>9</xdr:row>
                <xdr:rowOff>19050</xdr:rowOff>
              </to>
            </anchor>
          </controlPr>
        </control>
      </mc:Choice>
      <mc:Fallback>
        <control shapeId="1028" r:id="rId10" name="OptionButton2"/>
      </mc:Fallback>
    </mc:AlternateContent>
    <mc:AlternateContent xmlns:mc="http://schemas.openxmlformats.org/markup-compatibility/2006">
      <mc:Choice Requires="x14">
        <control shapeId="1027" r:id="rId12" name="OptionButton1">
          <controlPr defaultSize="0" autoLine="0" r:id="rId13">
            <anchor moveWithCells="1">
              <from>
                <xdr:col>4</xdr:col>
                <xdr:colOff>47625</xdr:colOff>
                <xdr:row>6</xdr:row>
                <xdr:rowOff>9525</xdr:rowOff>
              </from>
              <to>
                <xdr:col>6</xdr:col>
                <xdr:colOff>95250</xdr:colOff>
                <xdr:row>7</xdr:row>
                <xdr:rowOff>133350</xdr:rowOff>
              </to>
            </anchor>
          </controlPr>
        </control>
      </mc:Choice>
      <mc:Fallback>
        <control shapeId="1027" r:id="rId12" name="OptionButton1"/>
      </mc:Fallback>
    </mc:AlternateContent>
    <mc:AlternateContent xmlns:mc="http://schemas.openxmlformats.org/markup-compatibility/2006">
      <mc:Choice Requires="x14">
        <control shapeId="1026" r:id="rId14" name="ComboBox1">
          <controlPr defaultSize="0" autoLine="0" autoPict="0" linkedCell="C1" listFillRange="Hoja2!A1:B12" r:id="rId15">
            <anchor moveWithCells="1">
              <from>
                <xdr:col>4</xdr:col>
                <xdr:colOff>38100</xdr:colOff>
                <xdr:row>2</xdr:row>
                <xdr:rowOff>9525</xdr:rowOff>
              </from>
              <to>
                <xdr:col>6</xdr:col>
                <xdr:colOff>0</xdr:colOff>
                <xdr:row>3</xdr:row>
                <xdr:rowOff>47625</xdr:rowOff>
              </to>
            </anchor>
          </controlPr>
        </control>
      </mc:Choice>
      <mc:Fallback>
        <control shapeId="1026" r:id="rId14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12"/>
  <sheetViews>
    <sheetView workbookViewId="0">
      <selection sqref="A1:B12"/>
    </sheetView>
  </sheetViews>
  <sheetFormatPr baseColWidth="10" defaultRowHeight="15" x14ac:dyDescent="0.25"/>
  <sheetData>
    <row r="1" spans="1:2" x14ac:dyDescent="0.25">
      <c r="A1" t="s">
        <v>0</v>
      </c>
      <c r="B1" t="s">
        <v>12</v>
      </c>
    </row>
    <row r="2" spans="1:2" x14ac:dyDescent="0.25">
      <c r="A2" t="s">
        <v>1</v>
      </c>
      <c r="B2" t="s">
        <v>12</v>
      </c>
    </row>
    <row r="3" spans="1:2" x14ac:dyDescent="0.25">
      <c r="A3" t="s">
        <v>2</v>
      </c>
      <c r="B3" t="s">
        <v>13</v>
      </c>
    </row>
    <row r="4" spans="1:2" x14ac:dyDescent="0.25">
      <c r="A4" t="s">
        <v>3</v>
      </c>
      <c r="B4" t="s">
        <v>13</v>
      </c>
    </row>
    <row r="5" spans="1:2" x14ac:dyDescent="0.25">
      <c r="A5" t="s">
        <v>4</v>
      </c>
      <c r="B5" t="s">
        <v>13</v>
      </c>
    </row>
    <row r="6" spans="1:2" x14ac:dyDescent="0.25">
      <c r="A6" t="s">
        <v>5</v>
      </c>
      <c r="B6" t="s">
        <v>14</v>
      </c>
    </row>
    <row r="7" spans="1:2" x14ac:dyDescent="0.25">
      <c r="A7" t="s">
        <v>6</v>
      </c>
      <c r="B7" t="s">
        <v>14</v>
      </c>
    </row>
    <row r="8" spans="1:2" x14ac:dyDescent="0.25">
      <c r="A8" t="s">
        <v>7</v>
      </c>
      <c r="B8" t="s">
        <v>14</v>
      </c>
    </row>
    <row r="9" spans="1:2" x14ac:dyDescent="0.25">
      <c r="A9" t="s">
        <v>8</v>
      </c>
      <c r="B9" t="s">
        <v>15</v>
      </c>
    </row>
    <row r="10" spans="1:2" x14ac:dyDescent="0.25">
      <c r="A10" t="s">
        <v>9</v>
      </c>
      <c r="B10" t="s">
        <v>15</v>
      </c>
    </row>
    <row r="11" spans="1:2" x14ac:dyDescent="0.25">
      <c r="A11" t="s">
        <v>10</v>
      </c>
      <c r="B11" t="s">
        <v>15</v>
      </c>
    </row>
    <row r="12" spans="1:2" x14ac:dyDescent="0.25">
      <c r="A12" t="s">
        <v>11</v>
      </c>
      <c r="B12" t="s">
        <v>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3:G14"/>
  <sheetViews>
    <sheetView workbookViewId="0">
      <selection activeCell="G12" sqref="G12"/>
    </sheetView>
  </sheetViews>
  <sheetFormatPr baseColWidth="10" defaultRowHeight="15" x14ac:dyDescent="0.25"/>
  <sheetData>
    <row r="3" spans="1:7" x14ac:dyDescent="0.25">
      <c r="A3" t="s">
        <v>0</v>
      </c>
      <c r="B3" s="1">
        <v>5000</v>
      </c>
    </row>
    <row r="4" spans="1:7" x14ac:dyDescent="0.25">
      <c r="A4" t="s">
        <v>1</v>
      </c>
      <c r="B4" s="1">
        <v>6000</v>
      </c>
    </row>
    <row r="5" spans="1:7" x14ac:dyDescent="0.25">
      <c r="A5" t="s">
        <v>2</v>
      </c>
      <c r="B5" s="1">
        <v>7000</v>
      </c>
      <c r="E5" s="2" t="s">
        <v>16</v>
      </c>
      <c r="F5" s="2" t="s">
        <v>17</v>
      </c>
      <c r="G5" s="2" t="s">
        <v>18</v>
      </c>
    </row>
    <row r="6" spans="1:7" x14ac:dyDescent="0.25">
      <c r="A6" t="s">
        <v>3</v>
      </c>
      <c r="B6" s="1">
        <v>7000</v>
      </c>
      <c r="E6">
        <v>132</v>
      </c>
      <c r="F6">
        <v>7000</v>
      </c>
      <c r="G6">
        <f>E6*F6</f>
        <v>924000</v>
      </c>
    </row>
    <row r="7" spans="1:7" x14ac:dyDescent="0.25">
      <c r="A7" t="s">
        <v>4</v>
      </c>
      <c r="B7" s="1">
        <v>8000</v>
      </c>
    </row>
    <row r="8" spans="1:7" x14ac:dyDescent="0.25">
      <c r="A8" t="s">
        <v>5</v>
      </c>
      <c r="B8" s="1">
        <v>8500</v>
      </c>
    </row>
    <row r="9" spans="1:7" x14ac:dyDescent="0.25">
      <c r="A9" t="s">
        <v>6</v>
      </c>
      <c r="B9" s="1">
        <v>9000</v>
      </c>
    </row>
    <row r="10" spans="1:7" x14ac:dyDescent="0.25">
      <c r="A10" t="s">
        <v>7</v>
      </c>
      <c r="B10" s="1">
        <v>8700</v>
      </c>
    </row>
    <row r="11" spans="1:7" x14ac:dyDescent="0.25">
      <c r="A11" t="s">
        <v>8</v>
      </c>
      <c r="B11" s="1">
        <v>8500</v>
      </c>
    </row>
    <row r="12" spans="1:7" x14ac:dyDescent="0.25">
      <c r="A12" t="s">
        <v>9</v>
      </c>
      <c r="B12" s="1">
        <v>7000</v>
      </c>
    </row>
    <row r="13" spans="1:7" x14ac:dyDescent="0.25">
      <c r="A13" t="s">
        <v>10</v>
      </c>
      <c r="B13" s="1">
        <v>6500</v>
      </c>
    </row>
    <row r="14" spans="1:7" x14ac:dyDescent="0.25">
      <c r="A14" t="s">
        <v>11</v>
      </c>
      <c r="B14" s="1">
        <v>5800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3" r:id="rId4" name="ComboBox1">
          <controlPr autoLine="0" autoPict="0" linkedCell="F6" listFillRange="A3:B14" r:id="rId5">
            <anchor moveWithCells="1">
              <from>
                <xdr:col>5</xdr:col>
                <xdr:colOff>0</xdr:colOff>
                <xdr:row>8</xdr:row>
                <xdr:rowOff>9525</xdr:rowOff>
              </from>
              <to>
                <xdr:col>6</xdr:col>
                <xdr:colOff>342900</xdr:colOff>
                <xdr:row>9</xdr:row>
                <xdr:rowOff>66675</xdr:rowOff>
              </to>
            </anchor>
          </controlPr>
        </control>
      </mc:Choice>
      <mc:Fallback>
        <control shapeId="3073" r:id="rId4" name="Combo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2:G19"/>
  <sheetViews>
    <sheetView workbookViewId="0">
      <selection activeCell="F13" sqref="F13"/>
    </sheetView>
  </sheetViews>
  <sheetFormatPr baseColWidth="10" defaultRowHeight="15" x14ac:dyDescent="0.25"/>
  <cols>
    <col min="7" max="7" width="12.42578125" bestFit="1" customWidth="1"/>
  </cols>
  <sheetData>
    <row r="2" spans="2:7" x14ac:dyDescent="0.25">
      <c r="B2" s="12" t="s">
        <v>19</v>
      </c>
      <c r="C2" s="13" t="s">
        <v>20</v>
      </c>
      <c r="D2" s="13" t="s">
        <v>16</v>
      </c>
      <c r="E2" s="13" t="s">
        <v>18</v>
      </c>
      <c r="F2" s="13" t="s">
        <v>21</v>
      </c>
      <c r="G2" s="14" t="s">
        <v>22</v>
      </c>
    </row>
    <row r="3" spans="2:7" x14ac:dyDescent="0.25">
      <c r="B3" s="3" t="s">
        <v>23</v>
      </c>
      <c r="C3" s="15">
        <v>9</v>
      </c>
      <c r="D3" s="4">
        <v>10</v>
      </c>
      <c r="E3" s="7">
        <f>C3*D3</f>
        <v>90</v>
      </c>
      <c r="F3" s="16">
        <f>E3*$D$9</f>
        <v>2.6999999999999997</v>
      </c>
      <c r="G3" s="20">
        <f>E3-F3</f>
        <v>87.3</v>
      </c>
    </row>
    <row r="4" spans="2:7" x14ac:dyDescent="0.25">
      <c r="B4" s="6" t="s">
        <v>24</v>
      </c>
      <c r="C4" s="16">
        <v>779.09</v>
      </c>
      <c r="D4" s="7">
        <v>25</v>
      </c>
      <c r="E4" s="7">
        <f t="shared" ref="E4:E6" si="0">C4*D4</f>
        <v>19477.25</v>
      </c>
      <c r="F4" s="16">
        <f t="shared" ref="F4:F6" si="1">E4*$D$9</f>
        <v>584.3175</v>
      </c>
      <c r="G4" s="21">
        <f t="shared" ref="G4:G6" si="2">E4-F4</f>
        <v>18892.932499999999</v>
      </c>
    </row>
    <row r="5" spans="2:7" x14ac:dyDescent="0.25">
      <c r="B5" s="6" t="s">
        <v>25</v>
      </c>
      <c r="C5" s="16">
        <v>305.83</v>
      </c>
      <c r="D5" s="7">
        <v>32</v>
      </c>
      <c r="E5" s="7">
        <f t="shared" si="0"/>
        <v>9786.56</v>
      </c>
      <c r="F5" s="16">
        <f t="shared" si="1"/>
        <v>293.59679999999997</v>
      </c>
      <c r="G5" s="21">
        <f t="shared" si="2"/>
        <v>9492.9632000000001</v>
      </c>
    </row>
    <row r="6" spans="2:7" x14ac:dyDescent="0.25">
      <c r="B6" s="9" t="s">
        <v>26</v>
      </c>
      <c r="C6" s="17">
        <v>21</v>
      </c>
      <c r="D6" s="10">
        <v>45</v>
      </c>
      <c r="E6" s="7">
        <f t="shared" si="0"/>
        <v>945</v>
      </c>
      <c r="F6" s="16">
        <f t="shared" si="1"/>
        <v>28.349999999999998</v>
      </c>
      <c r="G6" s="22">
        <f t="shared" si="2"/>
        <v>916.65</v>
      </c>
    </row>
    <row r="7" spans="2:7" x14ac:dyDescent="0.25">
      <c r="B7" s="3"/>
      <c r="C7" s="4"/>
      <c r="D7" s="4"/>
      <c r="E7" s="4"/>
      <c r="F7" s="4"/>
      <c r="G7" s="5"/>
    </row>
    <row r="8" spans="2:7" x14ac:dyDescent="0.25">
      <c r="B8" s="6"/>
      <c r="C8" s="7"/>
      <c r="D8" s="7"/>
      <c r="E8" s="7"/>
      <c r="F8" s="7"/>
      <c r="G8" s="8"/>
    </row>
    <row r="9" spans="2:7" x14ac:dyDescent="0.25">
      <c r="B9" s="6"/>
      <c r="C9" s="7"/>
      <c r="D9" s="19">
        <v>0.03</v>
      </c>
      <c r="E9" s="7"/>
      <c r="F9" s="7"/>
      <c r="G9" s="8"/>
    </row>
    <row r="10" spans="2:7" x14ac:dyDescent="0.25">
      <c r="B10" s="6"/>
      <c r="C10" s="7"/>
      <c r="D10" s="7"/>
      <c r="E10" s="7"/>
      <c r="F10" s="7"/>
      <c r="G10" s="8"/>
    </row>
    <row r="11" spans="2:7" x14ac:dyDescent="0.25">
      <c r="B11" s="6"/>
      <c r="C11" s="7"/>
      <c r="D11" s="7"/>
      <c r="E11" s="7"/>
      <c r="F11" s="7"/>
      <c r="G11" s="8"/>
    </row>
    <row r="12" spans="2:7" x14ac:dyDescent="0.25">
      <c r="B12" s="6"/>
      <c r="C12" s="7"/>
      <c r="D12" s="7"/>
      <c r="E12" s="7"/>
      <c r="F12" s="7"/>
      <c r="G12" s="8"/>
    </row>
    <row r="13" spans="2:7" x14ac:dyDescent="0.25">
      <c r="B13" s="6"/>
      <c r="C13" s="7"/>
      <c r="D13" s="7"/>
      <c r="E13" s="7"/>
      <c r="F13" s="7"/>
      <c r="G13" s="8"/>
    </row>
    <row r="14" spans="2:7" x14ac:dyDescent="0.25">
      <c r="B14" s="6"/>
      <c r="C14" s="7"/>
      <c r="D14" s="7"/>
      <c r="E14" s="7"/>
      <c r="F14" s="7"/>
      <c r="G14" s="8"/>
    </row>
    <row r="15" spans="2:7" x14ac:dyDescent="0.25">
      <c r="B15" s="6"/>
      <c r="C15" s="7"/>
      <c r="D15" s="7"/>
      <c r="E15" s="7"/>
      <c r="F15" s="7"/>
      <c r="G15" s="8"/>
    </row>
    <row r="16" spans="2:7" x14ac:dyDescent="0.25">
      <c r="B16" s="6"/>
      <c r="C16" s="7"/>
      <c r="D16" s="7"/>
      <c r="E16" s="7"/>
      <c r="F16" s="7"/>
      <c r="G16" s="8"/>
    </row>
    <row r="17" spans="2:7" x14ac:dyDescent="0.25">
      <c r="B17" s="6"/>
      <c r="C17" s="7"/>
      <c r="D17" s="7"/>
      <c r="E17" s="7"/>
      <c r="F17" s="7"/>
      <c r="G17" s="8"/>
    </row>
    <row r="18" spans="2:7" x14ac:dyDescent="0.25">
      <c r="B18" s="6"/>
      <c r="C18" s="7"/>
      <c r="D18" s="7"/>
      <c r="E18" s="7"/>
      <c r="F18" s="7"/>
      <c r="G18" s="8"/>
    </row>
    <row r="19" spans="2:7" x14ac:dyDescent="0.25">
      <c r="B19" s="9"/>
      <c r="C19" s="10"/>
      <c r="D19" s="10"/>
      <c r="E19" s="10"/>
      <c r="F19" s="10"/>
      <c r="G19" s="11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01" r:id="rId3" name="opt_resto">
          <controlPr autoLine="0" autoPict="0" r:id="rId4">
            <anchor moveWithCells="1">
              <from>
                <xdr:col>1</xdr:col>
                <xdr:colOff>628650</xdr:colOff>
                <xdr:row>15</xdr:row>
                <xdr:rowOff>19050</xdr:rowOff>
              </from>
              <to>
                <xdr:col>4</xdr:col>
                <xdr:colOff>371475</xdr:colOff>
                <xdr:row>16</xdr:row>
                <xdr:rowOff>95250</xdr:rowOff>
              </to>
            </anchor>
          </controlPr>
        </control>
      </mc:Choice>
      <mc:Fallback>
        <control shapeId="4101" r:id="rId3" name="opt_resto"/>
      </mc:Fallback>
    </mc:AlternateContent>
    <mc:AlternateContent xmlns:mc="http://schemas.openxmlformats.org/markup-compatibility/2006">
      <mc:Choice Requires="x14">
        <control shapeId="4100" r:id="rId5" name="opt_lunes">
          <controlPr autoLine="0" autoPict="0" r:id="rId6">
            <anchor moveWithCells="1">
              <from>
                <xdr:col>1</xdr:col>
                <xdr:colOff>628650</xdr:colOff>
                <xdr:row>13</xdr:row>
                <xdr:rowOff>114300</xdr:rowOff>
              </from>
              <to>
                <xdr:col>4</xdr:col>
                <xdr:colOff>371475</xdr:colOff>
                <xdr:row>15</xdr:row>
                <xdr:rowOff>0</xdr:rowOff>
              </to>
            </anchor>
          </controlPr>
        </control>
      </mc:Choice>
      <mc:Fallback>
        <control shapeId="4100" r:id="rId5" name="opt_lunes"/>
      </mc:Fallback>
    </mc:AlternateContent>
    <mc:AlternateContent xmlns:mc="http://schemas.openxmlformats.org/markup-compatibility/2006">
      <mc:Choice Requires="x14">
        <control shapeId="4099" r:id="rId7" name="opt_domingo">
          <controlPr autoLine="0" autoPict="0" r:id="rId8">
            <anchor moveWithCells="1">
              <from>
                <xdr:col>1</xdr:col>
                <xdr:colOff>628650</xdr:colOff>
                <xdr:row>12</xdr:row>
                <xdr:rowOff>19050</xdr:rowOff>
              </from>
              <to>
                <xdr:col>4</xdr:col>
                <xdr:colOff>371475</xdr:colOff>
                <xdr:row>13</xdr:row>
                <xdr:rowOff>95250</xdr:rowOff>
              </to>
            </anchor>
          </controlPr>
        </control>
      </mc:Choice>
      <mc:Fallback>
        <control shapeId="4099" r:id="rId7" name="opt_domingo"/>
      </mc:Fallback>
    </mc:AlternateContent>
    <mc:AlternateContent xmlns:mc="http://schemas.openxmlformats.org/markup-compatibility/2006">
      <mc:Choice Requires="x14">
        <control shapeId="4097" r:id="rId9" name="lbl_descuento">
          <controlPr autoLine="0" r:id="rId10">
            <anchor moveWithCells="1">
              <from>
                <xdr:col>1</xdr:col>
                <xdr:colOff>561975</xdr:colOff>
                <xdr:row>7</xdr:row>
                <xdr:rowOff>180975</xdr:rowOff>
              </from>
              <to>
                <xdr:col>2</xdr:col>
                <xdr:colOff>714375</xdr:colOff>
                <xdr:row>9</xdr:row>
                <xdr:rowOff>28575</xdr:rowOff>
              </to>
            </anchor>
          </controlPr>
        </control>
      </mc:Choice>
      <mc:Fallback>
        <control shapeId="4097" r:id="rId9" name="lbl_descuento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2:Q19"/>
  <sheetViews>
    <sheetView workbookViewId="0">
      <selection activeCell="H23" sqref="H23"/>
    </sheetView>
  </sheetViews>
  <sheetFormatPr baseColWidth="10" defaultRowHeight="15" x14ac:dyDescent="0.25"/>
  <cols>
    <col min="6" max="6" width="16.85546875" bestFit="1" customWidth="1"/>
  </cols>
  <sheetData>
    <row r="2" spans="1:17" ht="28.5" x14ac:dyDescent="0.45">
      <c r="A2" s="32" t="s">
        <v>27</v>
      </c>
      <c r="B2" s="32"/>
      <c r="C2" s="32"/>
      <c r="D2" s="32"/>
      <c r="E2" s="32"/>
      <c r="F2" s="32"/>
      <c r="G2" s="32"/>
      <c r="H2" s="32"/>
      <c r="I2" s="32"/>
    </row>
    <row r="4" spans="1:17" x14ac:dyDescent="0.25">
      <c r="B4" s="23"/>
      <c r="C4" s="24"/>
      <c r="D4" s="24"/>
      <c r="E4" s="24"/>
      <c r="F4" s="24"/>
      <c r="G4" s="24"/>
      <c r="H4" s="24"/>
      <c r="I4" s="25"/>
    </row>
    <row r="5" spans="1:17" ht="18.75" x14ac:dyDescent="0.4">
      <c r="B5" s="33" t="s">
        <v>28</v>
      </c>
      <c r="C5" s="34"/>
      <c r="D5" s="34"/>
      <c r="E5" s="27"/>
      <c r="F5" s="27"/>
      <c r="G5" s="27"/>
      <c r="H5" s="27"/>
      <c r="I5" s="28"/>
      <c r="P5" s="39" t="s">
        <v>34</v>
      </c>
      <c r="Q5" s="39" t="s">
        <v>17</v>
      </c>
    </row>
    <row r="6" spans="1:17" x14ac:dyDescent="0.25">
      <c r="B6" s="26"/>
      <c r="C6" s="27"/>
      <c r="D6" s="27"/>
      <c r="E6" s="27"/>
      <c r="F6" s="27"/>
      <c r="G6" s="27"/>
      <c r="H6" s="27"/>
      <c r="I6" s="28"/>
      <c r="P6" s="40" t="s">
        <v>35</v>
      </c>
      <c r="Q6" s="41">
        <v>9900</v>
      </c>
    </row>
    <row r="7" spans="1:17" x14ac:dyDescent="0.25">
      <c r="B7" s="26"/>
      <c r="C7" s="27"/>
      <c r="D7" s="27"/>
      <c r="E7" s="27"/>
      <c r="F7" s="27" t="s">
        <v>16</v>
      </c>
      <c r="G7" s="27">
        <v>96</v>
      </c>
      <c r="H7" s="27"/>
      <c r="I7" s="28"/>
      <c r="P7" s="40" t="s">
        <v>36</v>
      </c>
      <c r="Q7" s="41">
        <v>10000</v>
      </c>
    </row>
    <row r="8" spans="1:17" x14ac:dyDescent="0.25">
      <c r="B8" s="26"/>
      <c r="C8" s="27"/>
      <c r="D8" s="27"/>
      <c r="E8" s="27"/>
      <c r="F8" s="27" t="s">
        <v>29</v>
      </c>
      <c r="G8" s="35">
        <v>9900</v>
      </c>
      <c r="H8" s="27"/>
      <c r="I8" s="28"/>
      <c r="P8" s="40" t="s">
        <v>37</v>
      </c>
      <c r="Q8" s="41">
        <v>8000</v>
      </c>
    </row>
    <row r="9" spans="1:17" x14ac:dyDescent="0.25">
      <c r="B9" s="26"/>
      <c r="C9" s="27"/>
      <c r="D9" s="27"/>
      <c r="E9" s="27"/>
      <c r="F9" s="27"/>
      <c r="G9" s="27"/>
      <c r="H9" s="27"/>
      <c r="I9" s="28"/>
      <c r="P9" s="40" t="s">
        <v>38</v>
      </c>
      <c r="Q9" s="41">
        <v>9600</v>
      </c>
    </row>
    <row r="10" spans="1:17" x14ac:dyDescent="0.25">
      <c r="B10" s="26"/>
      <c r="C10" s="27"/>
      <c r="D10" s="27"/>
      <c r="E10" s="27"/>
      <c r="F10" s="27" t="s">
        <v>30</v>
      </c>
      <c r="G10" s="37">
        <f>G7*G8</f>
        <v>950400</v>
      </c>
      <c r="H10" s="27"/>
      <c r="I10" s="28"/>
      <c r="P10" s="40" t="s">
        <v>39</v>
      </c>
      <c r="Q10" s="41">
        <v>10500</v>
      </c>
    </row>
    <row r="11" spans="1:17" x14ac:dyDescent="0.25">
      <c r="B11" s="26"/>
      <c r="C11" s="27"/>
      <c r="D11" s="27"/>
      <c r="E11" s="27"/>
      <c r="F11" s="27"/>
      <c r="G11" s="27"/>
      <c r="H11" s="27"/>
      <c r="I11" s="28"/>
    </row>
    <row r="12" spans="1:17" ht="18.75" x14ac:dyDescent="0.3">
      <c r="B12" s="26"/>
      <c r="C12" s="27"/>
      <c r="D12" s="36" t="s">
        <v>16</v>
      </c>
      <c r="E12" s="36"/>
      <c r="F12" s="27" t="s">
        <v>31</v>
      </c>
      <c r="G12" s="27">
        <f>IF(AND(G10&gt;=500000,G10&lt;800000),-1*(G10*0.03),IF(G10&gt;=800000,-1*(G10*0.05),0))</f>
        <v>-47520</v>
      </c>
      <c r="H12" s="27"/>
      <c r="I12" s="28"/>
    </row>
    <row r="13" spans="1:17" x14ac:dyDescent="0.25">
      <c r="B13" s="26"/>
      <c r="C13" s="27"/>
      <c r="D13" s="27"/>
      <c r="E13" s="27"/>
      <c r="F13" s="27" t="s">
        <v>32</v>
      </c>
      <c r="G13" s="35">
        <v>391680</v>
      </c>
      <c r="H13" s="27"/>
      <c r="I13" s="28"/>
    </row>
    <row r="14" spans="1:17" x14ac:dyDescent="0.25">
      <c r="B14" s="26"/>
      <c r="C14" s="27"/>
      <c r="D14" s="27"/>
      <c r="E14" s="27"/>
      <c r="F14" s="27"/>
      <c r="G14" s="27"/>
      <c r="H14" s="27"/>
      <c r="I14" s="28"/>
    </row>
    <row r="15" spans="1:17" ht="15.75" thickBot="1" x14ac:dyDescent="0.3">
      <c r="B15" s="26"/>
      <c r="C15" s="27"/>
      <c r="D15" s="27"/>
      <c r="E15" s="27"/>
      <c r="F15" s="27" t="s">
        <v>33</v>
      </c>
      <c r="G15" s="38">
        <f>SUM(G10,G12,G13)</f>
        <v>1294560</v>
      </c>
      <c r="H15" s="27"/>
      <c r="I15" s="28"/>
    </row>
    <row r="16" spans="1:17" ht="15.75" thickTop="1" x14ac:dyDescent="0.25">
      <c r="B16" s="26"/>
      <c r="C16" s="27"/>
      <c r="D16" s="27"/>
      <c r="E16" s="27"/>
      <c r="F16" s="27"/>
      <c r="G16" s="27"/>
      <c r="H16" s="27"/>
      <c r="I16" s="28"/>
    </row>
    <row r="17" spans="2:9" x14ac:dyDescent="0.25">
      <c r="B17" s="26"/>
      <c r="C17" s="27"/>
      <c r="D17" s="27"/>
      <c r="E17" s="27"/>
      <c r="F17" s="27"/>
      <c r="G17" s="27"/>
      <c r="H17" s="27"/>
      <c r="I17" s="28"/>
    </row>
    <row r="18" spans="2:9" x14ac:dyDescent="0.25">
      <c r="B18" s="26"/>
      <c r="C18" s="27"/>
      <c r="D18" s="27"/>
      <c r="E18" s="27"/>
      <c r="F18" s="27"/>
      <c r="G18" s="27"/>
      <c r="H18" s="27"/>
      <c r="I18" s="28"/>
    </row>
    <row r="19" spans="2:9" x14ac:dyDescent="0.25">
      <c r="B19" s="29"/>
      <c r="C19" s="30"/>
      <c r="D19" s="30"/>
      <c r="E19" s="30"/>
      <c r="F19" s="30"/>
      <c r="G19" s="30"/>
      <c r="H19" s="30"/>
      <c r="I19" s="31"/>
    </row>
  </sheetData>
  <mergeCells count="3">
    <mergeCell ref="A2:I2"/>
    <mergeCell ref="B5:D5"/>
    <mergeCell ref="D12:E1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6" r:id="rId3" name="spn_cantidad">
          <controlPr autoLine="0" linkedCell="G7" r:id="rId4">
            <anchor moveWithCells="1">
              <from>
                <xdr:col>4</xdr:col>
                <xdr:colOff>180975</xdr:colOff>
                <xdr:row>12</xdr:row>
                <xdr:rowOff>133350</xdr:rowOff>
              </from>
              <to>
                <xdr:col>4</xdr:col>
                <xdr:colOff>342900</xdr:colOff>
                <xdr:row>14</xdr:row>
                <xdr:rowOff>76200</xdr:rowOff>
              </to>
            </anchor>
          </controlPr>
        </control>
      </mc:Choice>
      <mc:Fallback>
        <control shapeId="5126" r:id="rId3" name="spn_cantidad"/>
      </mc:Fallback>
    </mc:AlternateContent>
    <mc:AlternateContent xmlns:mc="http://schemas.openxmlformats.org/markup-compatibility/2006">
      <mc:Choice Requires="x14">
        <control shapeId="5124" r:id="rId5" name="opt_tarjeta">
          <controlPr autoLine="0" r:id="rId6">
            <anchor moveWithCells="1">
              <from>
                <xdr:col>1</xdr:col>
                <xdr:colOff>504825</xdr:colOff>
                <xdr:row>12</xdr:row>
                <xdr:rowOff>19050</xdr:rowOff>
              </from>
              <to>
                <xdr:col>2</xdr:col>
                <xdr:colOff>609600</xdr:colOff>
                <xdr:row>13</xdr:row>
                <xdr:rowOff>95250</xdr:rowOff>
              </to>
            </anchor>
          </controlPr>
        </control>
      </mc:Choice>
      <mc:Fallback>
        <control shapeId="5124" r:id="rId5" name="opt_tarjeta"/>
      </mc:Fallback>
    </mc:AlternateContent>
    <mc:AlternateContent xmlns:mc="http://schemas.openxmlformats.org/markup-compatibility/2006">
      <mc:Choice Requires="x14">
        <control shapeId="5123" r:id="rId7" name="opt_30dias">
          <controlPr autoLine="0" autoPict="0" r:id="rId8">
            <anchor moveWithCells="1">
              <from>
                <xdr:col>1</xdr:col>
                <xdr:colOff>504825</xdr:colOff>
                <xdr:row>10</xdr:row>
                <xdr:rowOff>180975</xdr:rowOff>
              </from>
              <to>
                <xdr:col>2</xdr:col>
                <xdr:colOff>609600</xdr:colOff>
                <xdr:row>12</xdr:row>
                <xdr:rowOff>19050</xdr:rowOff>
              </to>
            </anchor>
          </controlPr>
        </control>
      </mc:Choice>
      <mc:Fallback>
        <control shapeId="5123" r:id="rId7" name="opt_30dias"/>
      </mc:Fallback>
    </mc:AlternateContent>
    <mc:AlternateContent xmlns:mc="http://schemas.openxmlformats.org/markup-compatibility/2006">
      <mc:Choice Requires="x14">
        <control shapeId="5122" r:id="rId9" name="opt_efectivo">
          <controlPr autoLine="0" autoPict="0" r:id="rId10">
            <anchor moveWithCells="1">
              <from>
                <xdr:col>1</xdr:col>
                <xdr:colOff>504825</xdr:colOff>
                <xdr:row>9</xdr:row>
                <xdr:rowOff>104775</xdr:rowOff>
              </from>
              <to>
                <xdr:col>2</xdr:col>
                <xdr:colOff>609600</xdr:colOff>
                <xdr:row>10</xdr:row>
                <xdr:rowOff>180975</xdr:rowOff>
              </to>
            </anchor>
          </controlPr>
        </control>
      </mc:Choice>
      <mc:Fallback>
        <control shapeId="5122" r:id="rId9" name="opt_efectivo"/>
      </mc:Fallback>
    </mc:AlternateContent>
    <mc:AlternateContent xmlns:mc="http://schemas.openxmlformats.org/markup-compatibility/2006">
      <mc:Choice Requires="x14">
        <control shapeId="5121" r:id="rId11" name="cmb_colores">
          <controlPr autoLine="0" linkedCell="G8" listFillRange="P6:Q10" r:id="rId12">
            <anchor moveWithCells="1">
              <from>
                <xdr:col>1</xdr:col>
                <xdr:colOff>390525</xdr:colOff>
                <xdr:row>5</xdr:row>
                <xdr:rowOff>142875</xdr:rowOff>
              </from>
              <to>
                <xdr:col>3</xdr:col>
                <xdr:colOff>133350</xdr:colOff>
                <xdr:row>7</xdr:row>
                <xdr:rowOff>0</xdr:rowOff>
              </to>
            </anchor>
          </controlPr>
        </control>
      </mc:Choice>
      <mc:Fallback>
        <control shapeId="5121" r:id="rId11" name="cmb_colores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B2:Q26"/>
  <sheetViews>
    <sheetView tabSelected="1" workbookViewId="0">
      <selection activeCell="Q26" sqref="Q26"/>
    </sheetView>
  </sheetViews>
  <sheetFormatPr baseColWidth="10" defaultRowHeight="15" x14ac:dyDescent="0.25"/>
  <cols>
    <col min="6" max="6" width="23.28515625" bestFit="1" customWidth="1"/>
  </cols>
  <sheetData>
    <row r="2" spans="2:17" x14ac:dyDescent="0.25">
      <c r="B2" s="23"/>
      <c r="C2" s="24"/>
      <c r="D2" s="24"/>
      <c r="E2" s="24"/>
      <c r="F2" s="24"/>
      <c r="G2" s="24"/>
      <c r="H2" s="24"/>
      <c r="I2" s="25"/>
    </row>
    <row r="3" spans="2:17" x14ac:dyDescent="0.25">
      <c r="B3" s="26"/>
      <c r="C3" s="27"/>
      <c r="D3" s="27"/>
      <c r="E3" s="27"/>
      <c r="F3" s="27"/>
      <c r="G3" s="27"/>
      <c r="H3" s="27"/>
      <c r="I3" s="28"/>
    </row>
    <row r="4" spans="2:17" x14ac:dyDescent="0.25">
      <c r="B4" s="26"/>
      <c r="C4" s="27"/>
      <c r="D4" s="27"/>
      <c r="E4" s="27"/>
      <c r="F4" s="27"/>
      <c r="G4" s="27"/>
      <c r="H4" s="27"/>
      <c r="I4" s="28"/>
    </row>
    <row r="5" spans="2:17" x14ac:dyDescent="0.25">
      <c r="B5" s="26"/>
      <c r="C5" s="27"/>
      <c r="D5" s="27"/>
      <c r="E5" s="27"/>
      <c r="F5" s="27"/>
      <c r="G5" s="27"/>
      <c r="H5" s="27"/>
      <c r="I5" s="28"/>
    </row>
    <row r="6" spans="2:17" x14ac:dyDescent="0.25">
      <c r="B6" s="26"/>
      <c r="C6" s="27"/>
      <c r="D6" s="27"/>
      <c r="E6" s="27"/>
      <c r="F6" s="27"/>
      <c r="G6" s="27"/>
      <c r="H6" s="27"/>
      <c r="I6" s="28"/>
    </row>
    <row r="7" spans="2:17" x14ac:dyDescent="0.25">
      <c r="B7" s="26"/>
      <c r="C7" s="27"/>
      <c r="D7" s="27"/>
      <c r="E7" s="27"/>
      <c r="F7" s="27"/>
      <c r="G7" s="27"/>
      <c r="H7" s="27"/>
      <c r="I7" s="28"/>
    </row>
    <row r="8" spans="2:17" x14ac:dyDescent="0.25">
      <c r="B8" s="26"/>
      <c r="C8" s="27"/>
      <c r="D8" s="27"/>
      <c r="E8" s="27"/>
      <c r="F8" s="27"/>
      <c r="G8" s="27"/>
      <c r="H8" s="27"/>
      <c r="I8" s="28"/>
      <c r="P8" s="40" t="s">
        <v>47</v>
      </c>
      <c r="Q8" s="40">
        <v>151.75</v>
      </c>
    </row>
    <row r="9" spans="2:17" x14ac:dyDescent="0.25">
      <c r="B9" s="26"/>
      <c r="C9" s="27"/>
      <c r="D9" s="27"/>
      <c r="E9" s="27"/>
      <c r="F9" s="27"/>
      <c r="G9" s="27"/>
      <c r="H9" s="27"/>
      <c r="I9" s="28"/>
      <c r="P9" s="40" t="s">
        <v>48</v>
      </c>
      <c r="Q9" s="40">
        <v>87.74</v>
      </c>
    </row>
    <row r="10" spans="2:17" x14ac:dyDescent="0.25">
      <c r="B10" s="26"/>
      <c r="C10" s="27"/>
      <c r="D10" s="27"/>
      <c r="E10" s="27"/>
      <c r="F10" s="43" t="s">
        <v>40</v>
      </c>
      <c r="G10" s="43"/>
      <c r="H10" s="43"/>
      <c r="I10" s="28"/>
      <c r="P10" s="40" t="s">
        <v>49</v>
      </c>
      <c r="Q10" s="40">
        <v>133.75</v>
      </c>
    </row>
    <row r="11" spans="2:17" x14ac:dyDescent="0.25">
      <c r="B11" s="26"/>
      <c r="C11" s="27"/>
      <c r="D11" s="27"/>
      <c r="E11" s="27"/>
      <c r="F11" s="27"/>
      <c r="G11" s="27"/>
      <c r="H11" s="27"/>
      <c r="I11" s="28"/>
      <c r="P11" s="40" t="s">
        <v>50</v>
      </c>
      <c r="Q11" s="40">
        <v>359.7</v>
      </c>
    </row>
    <row r="12" spans="2:17" x14ac:dyDescent="0.25">
      <c r="B12" s="26"/>
      <c r="C12" s="27"/>
      <c r="D12" s="27"/>
      <c r="E12" s="27"/>
      <c r="F12" s="27"/>
      <c r="G12" s="27"/>
      <c r="H12" s="27"/>
      <c r="I12" s="28"/>
    </row>
    <row r="13" spans="2:17" x14ac:dyDescent="0.25">
      <c r="B13" s="26"/>
      <c r="C13" s="27"/>
      <c r="D13" s="27"/>
      <c r="E13" s="27"/>
      <c r="F13" s="27"/>
      <c r="G13" s="27"/>
      <c r="H13" s="27"/>
      <c r="I13" s="28"/>
    </row>
    <row r="14" spans="2:17" x14ac:dyDescent="0.25">
      <c r="B14" s="26"/>
      <c r="C14" s="27"/>
      <c r="D14" s="27"/>
      <c r="E14" s="27"/>
      <c r="F14" s="27"/>
      <c r="G14" s="27"/>
      <c r="H14" s="27"/>
      <c r="I14" s="28"/>
    </row>
    <row r="15" spans="2:17" x14ac:dyDescent="0.25">
      <c r="B15" s="26"/>
      <c r="C15" s="27"/>
      <c r="D15" s="27"/>
      <c r="F15" s="27"/>
      <c r="G15" s="27"/>
      <c r="H15" s="27"/>
      <c r="I15" s="28"/>
    </row>
    <row r="16" spans="2:17" x14ac:dyDescent="0.25">
      <c r="B16" s="26"/>
      <c r="C16" s="27"/>
      <c r="D16" s="27"/>
      <c r="E16" s="27"/>
      <c r="F16" s="27"/>
      <c r="G16" s="27"/>
      <c r="H16" s="27"/>
      <c r="I16" s="28"/>
    </row>
    <row r="17" spans="2:9" x14ac:dyDescent="0.25">
      <c r="B17" s="26"/>
      <c r="C17" s="27"/>
      <c r="D17" s="27"/>
      <c r="E17" s="27"/>
      <c r="F17" s="27"/>
      <c r="G17" s="27"/>
      <c r="H17" s="27"/>
      <c r="I17" s="28"/>
    </row>
    <row r="18" spans="2:9" ht="18.75" x14ac:dyDescent="0.3">
      <c r="B18" s="26"/>
      <c r="C18" s="27"/>
      <c r="D18" s="27"/>
      <c r="E18" s="42" t="s">
        <v>41</v>
      </c>
      <c r="F18" s="27"/>
      <c r="G18" s="27"/>
      <c r="H18" s="27"/>
      <c r="I18" s="28"/>
    </row>
    <row r="19" spans="2:9" x14ac:dyDescent="0.25">
      <c r="B19" s="26"/>
      <c r="C19" s="27"/>
      <c r="D19" s="27"/>
      <c r="E19" s="27"/>
      <c r="F19" s="27"/>
      <c r="G19" s="27"/>
      <c r="H19" s="27"/>
      <c r="I19" s="28"/>
    </row>
    <row r="20" spans="2:9" x14ac:dyDescent="0.25">
      <c r="B20" s="26"/>
      <c r="C20" s="27"/>
      <c r="D20" s="27"/>
      <c r="E20" s="7"/>
      <c r="F20" s="7" t="s">
        <v>43</v>
      </c>
      <c r="G20" s="44">
        <v>359.7</v>
      </c>
      <c r="H20" s="7"/>
      <c r="I20" s="28"/>
    </row>
    <row r="21" spans="2:9" x14ac:dyDescent="0.25">
      <c r="B21" s="26"/>
      <c r="C21" s="27"/>
      <c r="D21" s="27"/>
      <c r="E21" s="7"/>
      <c r="F21" s="7" t="s">
        <v>42</v>
      </c>
      <c r="G21" s="44">
        <v>70</v>
      </c>
      <c r="H21" s="7"/>
      <c r="I21" s="28"/>
    </row>
    <row r="22" spans="2:9" x14ac:dyDescent="0.25">
      <c r="B22" s="26"/>
      <c r="C22" s="27"/>
      <c r="D22" s="27"/>
      <c r="E22" s="18"/>
      <c r="F22" s="18" t="s">
        <v>44</v>
      </c>
      <c r="G22" s="45">
        <f>G20+G21</f>
        <v>429.7</v>
      </c>
      <c r="H22" s="18"/>
      <c r="I22" s="28"/>
    </row>
    <row r="23" spans="2:9" x14ac:dyDescent="0.25">
      <c r="B23" s="26"/>
      <c r="C23" s="27"/>
      <c r="D23" s="27"/>
      <c r="E23" s="7"/>
      <c r="F23" s="7" t="s">
        <v>45</v>
      </c>
      <c r="G23" s="44">
        <v>35.97</v>
      </c>
      <c r="H23" s="7"/>
      <c r="I23" s="28"/>
    </row>
    <row r="24" spans="2:9" x14ac:dyDescent="0.25">
      <c r="B24" s="26"/>
      <c r="C24" s="27"/>
      <c r="D24" s="27"/>
      <c r="E24" s="18"/>
      <c r="F24" s="18" t="s">
        <v>46</v>
      </c>
      <c r="G24" s="45">
        <f>G22+G23</f>
        <v>465.66999999999996</v>
      </c>
      <c r="H24" s="18"/>
      <c r="I24" s="28"/>
    </row>
    <row r="25" spans="2:9" x14ac:dyDescent="0.25">
      <c r="B25" s="26"/>
      <c r="C25" s="27"/>
      <c r="D25" s="27"/>
      <c r="E25" s="27"/>
      <c r="F25" s="27"/>
      <c r="G25" s="27"/>
      <c r="H25" s="27"/>
      <c r="I25" s="28"/>
    </row>
    <row r="26" spans="2:9" x14ac:dyDescent="0.25">
      <c r="B26" s="29"/>
      <c r="C26" s="30"/>
      <c r="D26" s="30"/>
      <c r="E26" s="30"/>
      <c r="F26" s="30"/>
      <c r="G26" s="30"/>
      <c r="H26" s="30"/>
      <c r="I26" s="31"/>
    </row>
  </sheetData>
  <mergeCells count="1">
    <mergeCell ref="F10:H10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50" r:id="rId3" name="chk_ninosmayores2">
          <controlPr autoLine="0" r:id="rId4">
            <anchor moveWithCells="1">
              <from>
                <xdr:col>5</xdr:col>
                <xdr:colOff>152400</xdr:colOff>
                <xdr:row>12</xdr:row>
                <xdr:rowOff>0</xdr:rowOff>
              </from>
              <to>
                <xdr:col>5</xdr:col>
                <xdr:colOff>1524000</xdr:colOff>
                <xdr:row>13</xdr:row>
                <xdr:rowOff>76200</xdr:rowOff>
              </to>
            </anchor>
          </controlPr>
        </control>
      </mc:Choice>
      <mc:Fallback>
        <control shapeId="6150" r:id="rId3" name="chk_ninosmayores2"/>
      </mc:Fallback>
    </mc:AlternateContent>
    <mc:AlternateContent xmlns:mc="http://schemas.openxmlformats.org/markup-compatibility/2006">
      <mc:Choice Requires="x14">
        <control shapeId="6149" r:id="rId5" name="opt_cena">
          <controlPr autoLine="0" r:id="rId6">
            <anchor moveWithCells="1">
              <from>
                <xdr:col>1</xdr:col>
                <xdr:colOff>419100</xdr:colOff>
                <xdr:row>18</xdr:row>
                <xdr:rowOff>66675</xdr:rowOff>
              </from>
              <to>
                <xdr:col>3</xdr:col>
                <xdr:colOff>266700</xdr:colOff>
                <xdr:row>19</xdr:row>
                <xdr:rowOff>142875</xdr:rowOff>
              </to>
            </anchor>
          </controlPr>
        </control>
      </mc:Choice>
      <mc:Fallback>
        <control shapeId="6149" r:id="rId5" name="opt_cena"/>
      </mc:Fallback>
    </mc:AlternateContent>
    <mc:AlternateContent xmlns:mc="http://schemas.openxmlformats.org/markup-compatibility/2006">
      <mc:Choice Requires="x14">
        <control shapeId="6148" r:id="rId7" name="opt_almuerzo">
          <controlPr autoLine="0" r:id="rId8">
            <anchor moveWithCells="1">
              <from>
                <xdr:col>1</xdr:col>
                <xdr:colOff>419100</xdr:colOff>
                <xdr:row>16</xdr:row>
                <xdr:rowOff>104775</xdr:rowOff>
              </from>
              <to>
                <xdr:col>3</xdr:col>
                <xdr:colOff>266700</xdr:colOff>
                <xdr:row>17</xdr:row>
                <xdr:rowOff>180975</xdr:rowOff>
              </to>
            </anchor>
          </controlPr>
        </control>
      </mc:Choice>
      <mc:Fallback>
        <control shapeId="6148" r:id="rId7" name="opt_almuerzo"/>
      </mc:Fallback>
    </mc:AlternateContent>
    <mc:AlternateContent xmlns:mc="http://schemas.openxmlformats.org/markup-compatibility/2006">
      <mc:Choice Requires="x14">
        <control shapeId="6147" r:id="rId9" name="opt_completa">
          <controlPr autoLine="0" r:id="rId10">
            <anchor moveWithCells="1">
              <from>
                <xdr:col>1</xdr:col>
                <xdr:colOff>419100</xdr:colOff>
                <xdr:row>14</xdr:row>
                <xdr:rowOff>152400</xdr:rowOff>
              </from>
              <to>
                <xdr:col>3</xdr:col>
                <xdr:colOff>266700</xdr:colOff>
                <xdr:row>16</xdr:row>
                <xdr:rowOff>38100</xdr:rowOff>
              </to>
            </anchor>
          </controlPr>
        </control>
      </mc:Choice>
      <mc:Fallback>
        <control shapeId="6147" r:id="rId9" name="opt_completa"/>
      </mc:Fallback>
    </mc:AlternateContent>
    <mc:AlternateContent xmlns:mc="http://schemas.openxmlformats.org/markup-compatibility/2006">
      <mc:Choice Requires="x14">
        <control shapeId="6146" r:id="rId11" name="opt_desayuno">
          <controlPr autoLine="0" r:id="rId12">
            <anchor moveWithCells="1">
              <from>
                <xdr:col>1</xdr:col>
                <xdr:colOff>419100</xdr:colOff>
                <xdr:row>13</xdr:row>
                <xdr:rowOff>9525</xdr:rowOff>
              </from>
              <to>
                <xdr:col>3</xdr:col>
                <xdr:colOff>266700</xdr:colOff>
                <xdr:row>14</xdr:row>
                <xdr:rowOff>85725</xdr:rowOff>
              </to>
            </anchor>
          </controlPr>
        </control>
      </mc:Choice>
      <mc:Fallback>
        <control shapeId="6146" r:id="rId11" name="opt_desayuno"/>
      </mc:Fallback>
    </mc:AlternateContent>
    <mc:AlternateContent xmlns:mc="http://schemas.openxmlformats.org/markup-compatibility/2006">
      <mc:Choice Requires="x14">
        <control shapeId="6145" r:id="rId13" name="cmb_habitacion">
          <controlPr autoLine="0" autoPict="0" linkedCell="G20" listFillRange="P8:Q11" r:id="rId14">
            <anchor moveWithCells="1">
              <from>
                <xdr:col>1</xdr:col>
                <xdr:colOff>419100</xdr:colOff>
                <xdr:row>9</xdr:row>
                <xdr:rowOff>9525</xdr:rowOff>
              </from>
              <to>
                <xdr:col>3</xdr:col>
                <xdr:colOff>161925</xdr:colOff>
                <xdr:row>10</xdr:row>
                <xdr:rowOff>47625</xdr:rowOff>
              </to>
            </anchor>
          </controlPr>
        </control>
      </mc:Choice>
      <mc:Fallback>
        <control shapeId="6145" r:id="rId13" name="cmb_habitac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Hoja1</vt:lpstr>
      <vt:lpstr>Hoja2</vt:lpstr>
      <vt:lpstr>Ejercicio 1</vt:lpstr>
      <vt:lpstr>Ejercicio 2</vt:lpstr>
      <vt:lpstr>Ejercicio 3</vt:lpstr>
      <vt:lpstr>Hoja6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</dc:creator>
  <cp:lastModifiedBy>Miguel</cp:lastModifiedBy>
  <dcterms:created xsi:type="dcterms:W3CDTF">2019-11-15T08:17:20Z</dcterms:created>
  <dcterms:modified xsi:type="dcterms:W3CDTF">2019-11-15T11:42:44Z</dcterms:modified>
</cp:coreProperties>
</file>