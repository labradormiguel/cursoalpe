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l\Documents\POO\m1\unidad3\Practicas\20191118\"/>
    </mc:Choice>
  </mc:AlternateContent>
  <bookViews>
    <workbookView xWindow="0" yWindow="0" windowWidth="28800" windowHeight="12330" activeTab="2"/>
  </bookViews>
  <sheets>
    <sheet name="Productos" sheetId="3" r:id="rId1"/>
    <sheet name="Clientes" sheetId="5" r:id="rId2"/>
    <sheet name="Consulta" sheetId="6" r:id="rId3"/>
    <sheet name="Albarán" sheetId="7" r:id="rId4"/>
    <sheet name="Factura" sheetId="8" r:id="rId5"/>
  </sheets>
  <definedNames>
    <definedName name="Clientes">Clientes!$A$1:$F$7</definedName>
    <definedName name="Productos">Productos!$A$1:$C$18</definedName>
  </definedNames>
  <calcPr calcId="162913"/>
</workbook>
</file>

<file path=xl/calcChain.xml><?xml version="1.0" encoding="utf-8"?>
<calcChain xmlns="http://schemas.openxmlformats.org/spreadsheetml/2006/main">
  <c r="D8" i="6" l="1"/>
  <c r="C4" i="7"/>
  <c r="B34" i="8" s="1"/>
  <c r="I30" i="8"/>
  <c r="F33" i="8"/>
  <c r="I28" i="8"/>
  <c r="D7" i="8"/>
  <c r="C11" i="8" s="1"/>
  <c r="I24" i="8"/>
  <c r="F24" i="8"/>
  <c r="G24" i="8"/>
  <c r="G15" i="8"/>
  <c r="G16" i="8"/>
  <c r="G17" i="8"/>
  <c r="G18" i="8"/>
  <c r="G19" i="8"/>
  <c r="G20" i="8"/>
  <c r="G21" i="8"/>
  <c r="G22" i="8"/>
  <c r="G23" i="8"/>
  <c r="G10" i="7"/>
  <c r="G11" i="7"/>
  <c r="G12" i="7"/>
  <c r="G13" i="7"/>
  <c r="G14" i="7"/>
  <c r="G15" i="7"/>
  <c r="G16" i="7"/>
  <c r="G17" i="7"/>
  <c r="G18" i="7"/>
  <c r="G19" i="7"/>
  <c r="G20" i="7"/>
  <c r="G9" i="7"/>
  <c r="C9" i="7"/>
  <c r="C10" i="7"/>
  <c r="C11" i="7"/>
  <c r="C12" i="7"/>
  <c r="C13" i="7"/>
  <c r="C14" i="7"/>
  <c r="C15" i="7"/>
  <c r="C16" i="7"/>
  <c r="C17" i="7"/>
  <c r="C18" i="7"/>
  <c r="C20" i="7"/>
  <c r="C19" i="7"/>
  <c r="G14" i="8"/>
  <c r="F15" i="8"/>
  <c r="F18" i="8"/>
  <c r="F19" i="8"/>
  <c r="I19" i="8" s="1"/>
  <c r="F23" i="8"/>
  <c r="F14" i="8"/>
  <c r="C15" i="8"/>
  <c r="C17" i="8"/>
  <c r="C18" i="8"/>
  <c r="C19" i="8"/>
  <c r="C20" i="8"/>
  <c r="C23" i="8"/>
  <c r="C24" i="8"/>
  <c r="C14" i="8"/>
  <c r="B15" i="8"/>
  <c r="B16" i="8"/>
  <c r="F16" i="8" s="1"/>
  <c r="B17" i="8"/>
  <c r="B18" i="8"/>
  <c r="B19" i="8"/>
  <c r="B20" i="8"/>
  <c r="F20" i="8" s="1"/>
  <c r="B21" i="8"/>
  <c r="B22" i="8"/>
  <c r="F22" i="8" s="1"/>
  <c r="B23" i="8"/>
  <c r="B24" i="8"/>
  <c r="B14" i="8"/>
  <c r="D7" i="6"/>
  <c r="D20" i="6"/>
  <c r="D19" i="6"/>
  <c r="D18" i="6"/>
  <c r="D17" i="6"/>
  <c r="D16" i="6"/>
  <c r="D15" i="6"/>
  <c r="D6" i="6"/>
  <c r="C8" i="8" l="1"/>
  <c r="C9" i="8"/>
  <c r="C10" i="8"/>
  <c r="I15" i="8"/>
  <c r="I20" i="8"/>
  <c r="I16" i="8"/>
  <c r="I23" i="8"/>
  <c r="C22" i="8"/>
  <c r="I22" i="8"/>
  <c r="I21" i="8"/>
  <c r="F21" i="8"/>
  <c r="C21" i="8"/>
  <c r="I18" i="8"/>
  <c r="I17" i="8"/>
  <c r="F17" i="8"/>
  <c r="C16" i="8"/>
  <c r="I14" i="8"/>
  <c r="I27" i="8" l="1"/>
</calcChain>
</file>

<file path=xl/sharedStrings.xml><?xml version="1.0" encoding="utf-8"?>
<sst xmlns="http://schemas.openxmlformats.org/spreadsheetml/2006/main" count="97" uniqueCount="81">
  <si>
    <t>Codigo Artículo</t>
  </si>
  <si>
    <t>Descripción</t>
  </si>
  <si>
    <t>Precio</t>
  </si>
  <si>
    <t>Packard Bell SPIRIT II 9800</t>
  </si>
  <si>
    <t>Módem Blaster Externo 56k</t>
  </si>
  <si>
    <t>Reposamuñecas Boeder</t>
  </si>
  <si>
    <t>Altavoces PC 200w Creative</t>
  </si>
  <si>
    <t>DVD Rom 12x Encore+Dxr3 Con Creative</t>
  </si>
  <si>
    <t>SCANJET 5370C HP</t>
  </si>
  <si>
    <t>Escaner SCANJET 3300 HP</t>
  </si>
  <si>
    <t>Epson Perfection 610</t>
  </si>
  <si>
    <t>Epson Perfection 124u Photo Edición
Especial</t>
  </si>
  <si>
    <t>Compacq Presario 1400 XI352 Celeron 
600 Mhz</t>
  </si>
  <si>
    <t>iMac DV Special Edition a 500 Mhz.</t>
  </si>
  <si>
    <t>Toshiba Equium 3300 Intel Pentium III</t>
  </si>
  <si>
    <t>Acer Travelmate 739 TLV</t>
  </si>
  <si>
    <t>Regrabadora CD 8x4x32</t>
  </si>
  <si>
    <t>Lexmark Z 32 Inyección tinta</t>
  </si>
  <si>
    <t>Ratón boeder 205</t>
  </si>
  <si>
    <t>Cable Impresora bidireccional</t>
  </si>
  <si>
    <t>Nombre</t>
  </si>
  <si>
    <t>Apellidos</t>
  </si>
  <si>
    <t>Dirección</t>
  </si>
  <si>
    <t>Población</t>
  </si>
  <si>
    <t>DNI</t>
  </si>
  <si>
    <t xml:space="preserve">Federico </t>
  </si>
  <si>
    <t>Trillo Trillo</t>
  </si>
  <si>
    <t>Albacete</t>
  </si>
  <si>
    <t>María Jose</t>
  </si>
  <si>
    <t>Aznar Gote</t>
  </si>
  <si>
    <t>54545454-R</t>
  </si>
  <si>
    <t>13141516-K</t>
  </si>
  <si>
    <t>Valladolid</t>
  </si>
  <si>
    <t>Juan</t>
  </si>
  <si>
    <t>Cuesta Perez</t>
  </si>
  <si>
    <t>14141414-T</t>
  </si>
  <si>
    <t>Madrid</t>
  </si>
  <si>
    <t>Código cliente</t>
  </si>
  <si>
    <t>C01</t>
  </si>
  <si>
    <t>C02</t>
  </si>
  <si>
    <t>C03</t>
  </si>
  <si>
    <t>C04</t>
  </si>
  <si>
    <t>C05</t>
  </si>
  <si>
    <t>C06</t>
  </si>
  <si>
    <t>Sidgur</t>
  </si>
  <si>
    <t>Rushfeld García</t>
  </si>
  <si>
    <t>20202122-Q</t>
  </si>
  <si>
    <t>Santander</t>
  </si>
  <si>
    <t>Antonio</t>
  </si>
  <si>
    <t>Molina Sánchez</t>
  </si>
  <si>
    <t>36363636-L</t>
  </si>
  <si>
    <t>Calle Trinidad, 24</t>
  </si>
  <si>
    <t>Calle Noruega, 2</t>
  </si>
  <si>
    <t>Calle Desengaño, 76</t>
  </si>
  <si>
    <t>Calle Azores, 123</t>
  </si>
  <si>
    <t>Calle Honduras, 34</t>
  </si>
  <si>
    <t>Belén</t>
  </si>
  <si>
    <t>Zapatero Zaplana</t>
  </si>
  <si>
    <t>25252525-U</t>
  </si>
  <si>
    <t>Calle Movida, 100</t>
  </si>
  <si>
    <t>Barcelona</t>
  </si>
  <si>
    <t>CONSULTA PRODUCTOS</t>
  </si>
  <si>
    <t>Código artículo buscado</t>
  </si>
  <si>
    <t>Código artículo encontrado</t>
  </si>
  <si>
    <t>CONSULTA CLIENTES</t>
  </si>
  <si>
    <t>Código cliente buscado</t>
  </si>
  <si>
    <t>Código cliente encontrado</t>
  </si>
  <si>
    <t>Fecha</t>
  </si>
  <si>
    <t>Artículos</t>
  </si>
  <si>
    <t>Código</t>
  </si>
  <si>
    <t>Cantidad</t>
  </si>
  <si>
    <t>ALPE COMPUTER
PASAJE DE PEÑA, 1
SANTANDER (CANTABRIA)</t>
  </si>
  <si>
    <t>Cliente:</t>
  </si>
  <si>
    <t>Artículo</t>
  </si>
  <si>
    <t>Total</t>
  </si>
  <si>
    <t>Subtotal</t>
  </si>
  <si>
    <t>Descuento</t>
  </si>
  <si>
    <t>IVA</t>
  </si>
  <si>
    <t>TOTAL</t>
  </si>
  <si>
    <t>Nº de artículos vendidos:</t>
  </si>
  <si>
    <t xml:space="preserve">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</si>
</sst>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.00\ [$€-1]_-;\-* #,##0.00\ [$€-1]_-;_-* &quot;-&quot;??\ [$€-1]_-"/>
    <numFmt numFmtId="165" formatCode="#,##0\ [$€-1];\-#,##0\ [$€-1]"/>
    <numFmt numFmtId="166" formatCode="#,##0.00\ [$€-1]"/>
    <numFmt numFmtId="167" formatCode="[$-C0A]dddd\,\ d&quot; de &quot;mmmm&quot; de &quot;yyyy"/>
    <numFmt numFmtId="168" formatCode="#,##0.00\ &quot;€&quot;"/>
    <numFmt numFmtId="169" formatCode="dd/mm/yy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51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37">
    <xf numFmtId="0" fontId="0" fillId="0" borderId="0" xfId="0"/>
    <xf numFmtId="165" fontId="0" fillId="0" borderId="0" xfId="0" applyNumberFormat="1"/>
    <xf numFmtId="0" fontId="2" fillId="0" borderId="0" xfId="0" applyFont="1" applyAlignment="1">
      <alignment horizontal="center"/>
    </xf>
    <xf numFmtId="166" fontId="0" fillId="2" borderId="1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3" xfId="0" applyFill="1" applyBorder="1" applyAlignment="1">
      <alignment wrapText="1"/>
    </xf>
    <xf numFmtId="0" fontId="2" fillId="2" borderId="5" xfId="0" applyFont="1" applyFill="1" applyBorder="1"/>
    <xf numFmtId="0" fontId="2" fillId="2" borderId="6" xfId="0" applyFont="1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0" borderId="0" xfId="0" applyFont="1"/>
    <xf numFmtId="0" fontId="1" fillId="0" borderId="5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" fillId="0" borderId="17" xfId="0" applyFon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0" xfId="0" applyFont="1" applyBorder="1"/>
    <xf numFmtId="0" fontId="0" fillId="0" borderId="17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7" xfId="0" applyBorder="1" applyAlignment="1">
      <alignment horizontal="center"/>
    </xf>
    <xf numFmtId="169" fontId="0" fillId="0" borderId="20" xfId="0" applyNumberFormat="1" applyBorder="1" applyAlignment="1">
      <alignment horizontal="center"/>
    </xf>
    <xf numFmtId="169" fontId="0" fillId="0" borderId="21" xfId="0" applyNumberFormat="1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0" fillId="0" borderId="21" xfId="0" applyBorder="1" applyAlignment="1">
      <alignment horizontal="left"/>
    </xf>
    <xf numFmtId="0" fontId="5" fillId="5" borderId="17" xfId="0" applyFont="1" applyFill="1" applyBorder="1"/>
    <xf numFmtId="0" fontId="0" fillId="0" borderId="34" xfId="0" applyBorder="1"/>
    <xf numFmtId="0" fontId="5" fillId="5" borderId="18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/>
    <xf numFmtId="0" fontId="0" fillId="0" borderId="40" xfId="0" applyBorder="1"/>
    <xf numFmtId="0" fontId="0" fillId="0" borderId="45" xfId="0" applyBorder="1"/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3" xfId="0" applyBorder="1" applyAlignment="1">
      <alignment horizontal="left"/>
    </xf>
    <xf numFmtId="0" fontId="0" fillId="0" borderId="44" xfId="0" applyBorder="1" applyAlignment="1">
      <alignment horizontal="left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7" xfId="0" applyFont="1" applyFill="1" applyBorder="1" applyAlignment="1"/>
    <xf numFmtId="0" fontId="2" fillId="4" borderId="18" xfId="0" applyFont="1" applyFill="1" applyBorder="1" applyAlignment="1">
      <alignment horizontal="left"/>
    </xf>
    <xf numFmtId="0" fontId="2" fillId="4" borderId="19" xfId="0" applyFont="1" applyFill="1" applyBorder="1" applyAlignment="1">
      <alignment horizontal="left"/>
    </xf>
    <xf numFmtId="0" fontId="1" fillId="4" borderId="23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0" fontId="1" fillId="4" borderId="24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0" fontId="1" fillId="4" borderId="20" xfId="0" applyFont="1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0" fillId="4" borderId="22" xfId="0" applyFill="1" applyBorder="1" applyAlignment="1">
      <alignment horizontal="left"/>
    </xf>
    <xf numFmtId="0" fontId="2" fillId="0" borderId="0" xfId="0" applyFont="1"/>
    <xf numFmtId="168" fontId="5" fillId="5" borderId="0" xfId="0" applyNumberFormat="1" applyFont="1" applyFill="1"/>
    <xf numFmtId="168" fontId="0" fillId="0" borderId="19" xfId="0" applyNumberFormat="1" applyBorder="1"/>
    <xf numFmtId="168" fontId="0" fillId="0" borderId="24" xfId="0" applyNumberFormat="1" applyBorder="1"/>
    <xf numFmtId="168" fontId="0" fillId="0" borderId="22" xfId="0" applyNumberFormat="1" applyBorder="1"/>
    <xf numFmtId="0" fontId="0" fillId="0" borderId="46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168" fontId="0" fillId="0" borderId="28" xfId="0" applyNumberFormat="1" applyBorder="1" applyAlignment="1">
      <alignment horizontal="center"/>
    </xf>
    <xf numFmtId="168" fontId="0" fillId="0" borderId="29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9" fontId="5" fillId="5" borderId="0" xfId="2" applyFont="1" applyFill="1"/>
    <xf numFmtId="0" fontId="1" fillId="4" borderId="10" xfId="0" applyFont="1" applyFill="1" applyBorder="1" applyAlignment="1">
      <alignment horizontal="center"/>
    </xf>
    <xf numFmtId="9" fontId="5" fillId="5" borderId="0" xfId="0" applyNumberFormat="1" applyFont="1" applyFill="1"/>
    <xf numFmtId="167" fontId="1" fillId="4" borderId="8" xfId="0" applyNumberFormat="1" applyFont="1" applyFill="1" applyBorder="1" applyAlignment="1">
      <alignment horizontal="center"/>
    </xf>
    <xf numFmtId="167" fontId="1" fillId="4" borderId="9" xfId="0" applyNumberFormat="1" applyFont="1" applyFill="1" applyBorder="1" applyAlignment="1">
      <alignment horizontal="center"/>
    </xf>
    <xf numFmtId="167" fontId="1" fillId="4" borderId="10" xfId="0" applyNumberFormat="1" applyFont="1" applyFill="1" applyBorder="1" applyAlignment="1">
      <alignment horizontal="center"/>
    </xf>
    <xf numFmtId="168" fontId="0" fillId="4" borderId="16" xfId="0" applyNumberFormat="1" applyFill="1" applyBorder="1" applyAlignment="1"/>
    <xf numFmtId="168" fontId="0" fillId="4" borderId="2" xfId="0" applyNumberFormat="1" applyFill="1" applyBorder="1" applyAlignment="1"/>
    <xf numFmtId="0" fontId="0" fillId="4" borderId="0" xfId="0" applyFill="1" applyBorder="1" applyAlignment="1"/>
    <xf numFmtId="0" fontId="0" fillId="4" borderId="1" xfId="0" applyFill="1" applyBorder="1" applyAlignment="1"/>
    <xf numFmtId="0" fontId="0" fillId="4" borderId="12" xfId="0" applyFill="1" applyBorder="1" applyAlignment="1"/>
    <xf numFmtId="0" fontId="0" fillId="4" borderId="13" xfId="0" applyFill="1" applyBorder="1" applyAlignment="1"/>
    <xf numFmtId="0" fontId="0" fillId="4" borderId="50" xfId="0" applyFill="1" applyBorder="1" applyAlignment="1"/>
    <xf numFmtId="0" fontId="0" fillId="4" borderId="6" xfId="0" applyFill="1" applyBorder="1" applyAlignment="1"/>
    <xf numFmtId="0" fontId="0" fillId="4" borderId="11" xfId="0" applyFill="1" applyBorder="1" applyAlignment="1">
      <alignment horizontal="left" indent="2"/>
    </xf>
    <xf numFmtId="0" fontId="0" fillId="4" borderId="14" xfId="0" applyFill="1" applyBorder="1" applyAlignment="1">
      <alignment horizontal="left" indent="2"/>
    </xf>
    <xf numFmtId="0" fontId="0" fillId="4" borderId="49" xfId="0" applyFill="1" applyBorder="1" applyAlignment="1">
      <alignment horizontal="left" indent="2"/>
    </xf>
    <xf numFmtId="168" fontId="0" fillId="4" borderId="15" xfId="0" applyNumberFormat="1" applyFill="1" applyBorder="1" applyAlignment="1">
      <alignment horizontal="left" indent="2"/>
    </xf>
  </cellXfs>
  <cellStyles count="3">
    <cellStyle name="Euro" xfId="1"/>
    <cellStyle name="Normal" xfId="0" builtinId="0"/>
    <cellStyle name="Porcentaj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76199</xdr:colOff>
          <xdr:row>3</xdr:row>
          <xdr:rowOff>76200</xdr:rowOff>
        </xdr:from>
        <xdr:to>
          <xdr:col>12</xdr:col>
          <xdr:colOff>409574</xdr:colOff>
          <xdr:row>5</xdr:row>
          <xdr:rowOff>28575</xdr:rowOff>
        </xdr:to>
        <xdr:sp macro="" textlink="">
          <xdr:nvSpPr>
            <xdr:cNvPr id="1027" name="cmd_limpiarconsult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9"/>
  <sheetViews>
    <sheetView workbookViewId="0">
      <selection activeCell="C18" sqref="C18"/>
    </sheetView>
  </sheetViews>
  <sheetFormatPr baseColWidth="10" defaultRowHeight="12.75" x14ac:dyDescent="0.2"/>
  <cols>
    <col min="1" max="1" width="16" customWidth="1"/>
    <col min="2" max="2" width="33.5703125" customWidth="1"/>
    <col min="3" max="3" width="12.85546875" bestFit="1" customWidth="1"/>
  </cols>
  <sheetData>
    <row r="1" spans="1:4" ht="14.25" thickTop="1" thickBot="1" x14ac:dyDescent="0.25">
      <c r="A1" s="8" t="s">
        <v>0</v>
      </c>
      <c r="B1" s="8" t="s">
        <v>1</v>
      </c>
      <c r="C1" s="9" t="s">
        <v>2</v>
      </c>
    </row>
    <row r="2" spans="1:4" ht="13.5" thickTop="1" x14ac:dyDescent="0.2">
      <c r="A2" s="5">
        <v>101</v>
      </c>
      <c r="B2" s="5" t="s">
        <v>3</v>
      </c>
      <c r="C2" s="3">
        <v>2797.6812953012873</v>
      </c>
      <c r="D2" s="1"/>
    </row>
    <row r="3" spans="1:4" x14ac:dyDescent="0.2">
      <c r="A3" s="5">
        <v>102</v>
      </c>
      <c r="B3" s="5" t="s">
        <v>4</v>
      </c>
      <c r="C3" s="3">
        <v>84.081593403291151</v>
      </c>
      <c r="D3" s="1"/>
    </row>
    <row r="4" spans="1:4" x14ac:dyDescent="0.2">
      <c r="A4" s="5">
        <v>103</v>
      </c>
      <c r="B4" s="5" t="s">
        <v>5</v>
      </c>
      <c r="C4" s="3">
        <v>3.1192528217518301</v>
      </c>
      <c r="D4" s="1"/>
    </row>
    <row r="5" spans="1:4" x14ac:dyDescent="0.2">
      <c r="A5" s="5">
        <v>104</v>
      </c>
      <c r="B5" s="5" t="s">
        <v>6</v>
      </c>
      <c r="C5" s="3">
        <v>29.449593114805332</v>
      </c>
      <c r="D5" s="1"/>
    </row>
    <row r="6" spans="1:4" x14ac:dyDescent="0.2">
      <c r="A6" s="5">
        <v>105</v>
      </c>
      <c r="B6" s="5" t="s">
        <v>7</v>
      </c>
      <c r="C6" s="3">
        <v>267.45038645078313</v>
      </c>
      <c r="D6" s="1"/>
    </row>
    <row r="7" spans="1:4" x14ac:dyDescent="0.2">
      <c r="A7" s="5">
        <v>106</v>
      </c>
      <c r="B7" s="5" t="s">
        <v>8</v>
      </c>
      <c r="C7" s="3">
        <v>306.51617323572896</v>
      </c>
      <c r="D7" s="1"/>
    </row>
    <row r="8" spans="1:4" x14ac:dyDescent="0.2">
      <c r="A8" s="5">
        <v>107</v>
      </c>
      <c r="B8" s="5" t="s">
        <v>9</v>
      </c>
      <c r="C8" s="3">
        <v>83.540682509345743</v>
      </c>
      <c r="D8" s="1"/>
    </row>
    <row r="9" spans="1:4" x14ac:dyDescent="0.2">
      <c r="A9" s="5">
        <v>108</v>
      </c>
      <c r="B9" s="5" t="s">
        <v>10</v>
      </c>
      <c r="C9" s="3">
        <v>109.56450662916352</v>
      </c>
      <c r="D9" s="1"/>
    </row>
    <row r="10" spans="1:4" ht="25.5" x14ac:dyDescent="0.2">
      <c r="A10" s="5">
        <v>109</v>
      </c>
      <c r="B10" s="7" t="s">
        <v>11</v>
      </c>
      <c r="C10" s="3">
        <v>333.56171793299916</v>
      </c>
      <c r="D10" s="1"/>
    </row>
    <row r="11" spans="1:4" ht="25.5" x14ac:dyDescent="0.2">
      <c r="A11" s="5">
        <v>110</v>
      </c>
      <c r="B11" s="7" t="s">
        <v>12</v>
      </c>
      <c r="C11" s="3">
        <v>2132.9919584580434</v>
      </c>
      <c r="D11" s="1"/>
    </row>
    <row r="12" spans="1:4" x14ac:dyDescent="0.2">
      <c r="A12" s="5">
        <v>111</v>
      </c>
      <c r="B12" s="5" t="s">
        <v>13</v>
      </c>
      <c r="C12" s="3">
        <v>1472.4796557402667</v>
      </c>
      <c r="D12" s="1"/>
    </row>
    <row r="13" spans="1:4" x14ac:dyDescent="0.2">
      <c r="A13" s="5">
        <v>112</v>
      </c>
      <c r="B13" s="5" t="s">
        <v>14</v>
      </c>
      <c r="C13" s="3">
        <v>1291.5750123207481</v>
      </c>
      <c r="D13" s="1"/>
    </row>
    <row r="14" spans="1:4" x14ac:dyDescent="0.2">
      <c r="A14" s="5">
        <v>113</v>
      </c>
      <c r="B14" s="5" t="s">
        <v>15</v>
      </c>
      <c r="C14" s="3">
        <v>5973.4593054704119</v>
      </c>
      <c r="D14" s="1"/>
    </row>
    <row r="15" spans="1:4" x14ac:dyDescent="0.2">
      <c r="A15" s="5">
        <v>114</v>
      </c>
      <c r="B15" s="5" t="s">
        <v>16</v>
      </c>
      <c r="C15" s="3">
        <v>179.7026192107509</v>
      </c>
      <c r="D15" s="1"/>
    </row>
    <row r="16" spans="1:4" x14ac:dyDescent="0.2">
      <c r="A16" s="5">
        <v>115</v>
      </c>
      <c r="B16" s="5" t="s">
        <v>17</v>
      </c>
      <c r="C16" s="3">
        <v>107.58116668469704</v>
      </c>
      <c r="D16" s="1"/>
    </row>
    <row r="17" spans="1:4" x14ac:dyDescent="0.2">
      <c r="A17" s="5">
        <v>116</v>
      </c>
      <c r="B17" s="5" t="s">
        <v>18</v>
      </c>
      <c r="C17" s="3">
        <v>9.015181565756734</v>
      </c>
      <c r="D17" s="1"/>
    </row>
    <row r="18" spans="1:4" ht="13.5" thickBot="1" x14ac:dyDescent="0.25">
      <c r="A18" s="6">
        <v>117</v>
      </c>
      <c r="B18" s="6" t="s">
        <v>19</v>
      </c>
      <c r="C18" s="4">
        <v>7.2121452526053877</v>
      </c>
      <c r="D18" s="1"/>
    </row>
    <row r="19" spans="1:4" ht="13.5" thickTop="1" x14ac:dyDescent="0.2"/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8"/>
  <sheetViews>
    <sheetView workbookViewId="0">
      <selection activeCell="H30" sqref="H30"/>
    </sheetView>
  </sheetViews>
  <sheetFormatPr baseColWidth="10" defaultRowHeight="12.75" x14ac:dyDescent="0.2"/>
  <cols>
    <col min="1" max="1" width="16.7109375" customWidth="1"/>
    <col min="2" max="2" width="13.28515625" customWidth="1"/>
    <col min="3" max="3" width="18.28515625" customWidth="1"/>
    <col min="4" max="4" width="14.85546875" customWidth="1"/>
    <col min="5" max="5" width="28.42578125" customWidth="1"/>
    <col min="6" max="6" width="14" customWidth="1"/>
  </cols>
  <sheetData>
    <row r="1" spans="1:7" ht="14.25" thickTop="1" thickBot="1" x14ac:dyDescent="0.25">
      <c r="A1" s="8" t="s">
        <v>37</v>
      </c>
      <c r="B1" s="8" t="s">
        <v>20</v>
      </c>
      <c r="C1" s="9" t="s">
        <v>21</v>
      </c>
      <c r="D1" s="8" t="s">
        <v>24</v>
      </c>
      <c r="E1" s="8" t="s">
        <v>22</v>
      </c>
      <c r="F1" s="9" t="s">
        <v>23</v>
      </c>
      <c r="G1" s="2"/>
    </row>
    <row r="2" spans="1:7" ht="13.5" thickTop="1" x14ac:dyDescent="0.2">
      <c r="A2" s="5" t="s">
        <v>38</v>
      </c>
      <c r="B2" s="5" t="s">
        <v>25</v>
      </c>
      <c r="C2" s="3" t="s">
        <v>26</v>
      </c>
      <c r="D2" s="5" t="s">
        <v>30</v>
      </c>
      <c r="E2" s="5" t="s">
        <v>55</v>
      </c>
      <c r="F2" s="3" t="s">
        <v>27</v>
      </c>
    </row>
    <row r="3" spans="1:7" x14ac:dyDescent="0.2">
      <c r="A3" s="5" t="s">
        <v>39</v>
      </c>
      <c r="B3" s="5" t="s">
        <v>28</v>
      </c>
      <c r="C3" s="3" t="s">
        <v>29</v>
      </c>
      <c r="D3" s="5" t="s">
        <v>31</v>
      </c>
      <c r="E3" s="5" t="s">
        <v>54</v>
      </c>
      <c r="F3" s="3" t="s">
        <v>32</v>
      </c>
    </row>
    <row r="4" spans="1:7" x14ac:dyDescent="0.2">
      <c r="A4" s="5" t="s">
        <v>40</v>
      </c>
      <c r="B4" s="5" t="s">
        <v>33</v>
      </c>
      <c r="C4" s="3" t="s">
        <v>34</v>
      </c>
      <c r="D4" s="5" t="s">
        <v>35</v>
      </c>
      <c r="E4" s="5" t="s">
        <v>53</v>
      </c>
      <c r="F4" s="3" t="s">
        <v>36</v>
      </c>
    </row>
    <row r="5" spans="1:7" x14ac:dyDescent="0.2">
      <c r="A5" s="5" t="s">
        <v>41</v>
      </c>
      <c r="B5" s="5" t="s">
        <v>44</v>
      </c>
      <c r="C5" s="3" t="s">
        <v>45</v>
      </c>
      <c r="D5" s="5" t="s">
        <v>46</v>
      </c>
      <c r="E5" s="5" t="s">
        <v>52</v>
      </c>
      <c r="F5" s="3" t="s">
        <v>47</v>
      </c>
    </row>
    <row r="6" spans="1:7" x14ac:dyDescent="0.2">
      <c r="A6" s="5" t="s">
        <v>42</v>
      </c>
      <c r="B6" s="5" t="s">
        <v>48</v>
      </c>
      <c r="C6" s="3" t="s">
        <v>49</v>
      </c>
      <c r="D6" s="5" t="s">
        <v>50</v>
      </c>
      <c r="E6" s="5" t="s">
        <v>51</v>
      </c>
      <c r="F6" s="3" t="s">
        <v>60</v>
      </c>
    </row>
    <row r="7" spans="1:7" ht="13.5" thickBot="1" x14ac:dyDescent="0.25">
      <c r="A7" s="6" t="s">
        <v>43</v>
      </c>
      <c r="B7" s="6" t="s">
        <v>56</v>
      </c>
      <c r="C7" s="4" t="s">
        <v>57</v>
      </c>
      <c r="D7" s="6" t="s">
        <v>58</v>
      </c>
      <c r="E7" s="6" t="s">
        <v>59</v>
      </c>
      <c r="F7" s="4" t="s">
        <v>36</v>
      </c>
    </row>
    <row r="8" spans="1:7" ht="13.5" thickTop="1" x14ac:dyDescent="0.2"/>
  </sheetData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O21"/>
  <sheetViews>
    <sheetView tabSelected="1" workbookViewId="0">
      <selection activeCell="M22" sqref="M22"/>
    </sheetView>
  </sheetViews>
  <sheetFormatPr baseColWidth="10" defaultRowHeight="12.75" x14ac:dyDescent="0.2"/>
  <cols>
    <col min="4" max="4" width="15.42578125" bestFit="1" customWidth="1"/>
  </cols>
  <sheetData>
    <row r="2" spans="2:15" ht="13.5" thickBot="1" x14ac:dyDescent="0.25"/>
    <row r="3" spans="2:15" ht="13.5" thickBot="1" x14ac:dyDescent="0.25">
      <c r="B3" s="13" t="s">
        <v>61</v>
      </c>
      <c r="C3" s="14"/>
      <c r="D3" s="14"/>
      <c r="E3" s="14"/>
      <c r="F3" s="14"/>
      <c r="G3" s="14"/>
      <c r="H3" s="14"/>
      <c r="I3" s="15"/>
    </row>
    <row r="4" spans="2:15" ht="13.5" thickBot="1" x14ac:dyDescent="0.25"/>
    <row r="5" spans="2:15" ht="14.25" thickTop="1" thickBot="1" x14ac:dyDescent="0.25">
      <c r="B5" s="17" t="s">
        <v>62</v>
      </c>
      <c r="C5" s="17"/>
      <c r="D5" s="135">
        <v>114</v>
      </c>
      <c r="E5" s="131"/>
      <c r="F5" s="131"/>
      <c r="G5" s="131"/>
      <c r="H5" s="131"/>
      <c r="I5" s="132"/>
    </row>
    <row r="6" spans="2:15" ht="13.5" thickTop="1" x14ac:dyDescent="0.2">
      <c r="B6" s="20" t="s">
        <v>63</v>
      </c>
      <c r="C6" s="21"/>
      <c r="D6" s="133">
        <f>VLOOKUP(D5,Productos!A1:C18,1,FALSE)</f>
        <v>114</v>
      </c>
      <c r="E6" s="129"/>
      <c r="F6" s="129"/>
      <c r="G6" s="129"/>
      <c r="H6" s="129"/>
      <c r="I6" s="130"/>
    </row>
    <row r="7" spans="2:15" x14ac:dyDescent="0.2">
      <c r="B7" s="22" t="s">
        <v>1</v>
      </c>
      <c r="C7" s="23"/>
      <c r="D7" s="134" t="str">
        <f>VLOOKUP(D5,Productos!A1:C18,2,FALSE)</f>
        <v>Regrabadora CD 8x4x32</v>
      </c>
      <c r="E7" s="127"/>
      <c r="F7" s="127"/>
      <c r="G7" s="127"/>
      <c r="H7" s="127"/>
      <c r="I7" s="128"/>
    </row>
    <row r="8" spans="2:15" ht="13.5" thickBot="1" x14ac:dyDescent="0.25">
      <c r="B8" s="24" t="s">
        <v>2</v>
      </c>
      <c r="C8" s="25"/>
      <c r="D8" s="136">
        <f>VLOOKUP(D5,Productos!A1:C18,3,FALSE)</f>
        <v>179.7026192107509</v>
      </c>
      <c r="E8" s="125"/>
      <c r="F8" s="125"/>
      <c r="G8" s="125"/>
      <c r="H8" s="125"/>
      <c r="I8" s="126"/>
    </row>
    <row r="9" spans="2:15" ht="13.5" thickTop="1" x14ac:dyDescent="0.2"/>
    <row r="11" spans="2:15" ht="13.5" thickBot="1" x14ac:dyDescent="0.25"/>
    <row r="12" spans="2:15" ht="13.5" thickBot="1" x14ac:dyDescent="0.25">
      <c r="B12" s="13" t="s">
        <v>64</v>
      </c>
      <c r="C12" s="14"/>
      <c r="D12" s="14"/>
      <c r="E12" s="14"/>
      <c r="F12" s="14"/>
      <c r="G12" s="14"/>
      <c r="H12" s="14"/>
      <c r="I12" s="15"/>
      <c r="O12" s="16" t="s">
        <v>80</v>
      </c>
    </row>
    <row r="13" spans="2:15" ht="13.5" thickBot="1" x14ac:dyDescent="0.25"/>
    <row r="14" spans="2:15" ht="14.25" thickTop="1" thickBot="1" x14ac:dyDescent="0.25">
      <c r="B14" s="17" t="s">
        <v>65</v>
      </c>
      <c r="C14" s="17"/>
      <c r="D14" s="18" t="s">
        <v>43</v>
      </c>
      <c r="E14" s="18"/>
      <c r="F14" s="18"/>
      <c r="G14" s="18"/>
      <c r="H14" s="18"/>
      <c r="I14" s="18"/>
    </row>
    <row r="15" spans="2:15" ht="13.5" thickTop="1" x14ac:dyDescent="0.2">
      <c r="B15" s="20" t="s">
        <v>66</v>
      </c>
      <c r="C15" s="21"/>
      <c r="D15" s="32" t="str">
        <f>VLOOKUP(D14,Clientes!A1:F7,1,FALSE)</f>
        <v>C06</v>
      </c>
      <c r="E15" s="33"/>
      <c r="F15" s="33"/>
      <c r="G15" s="33"/>
      <c r="H15" s="33"/>
      <c r="I15" s="34"/>
    </row>
    <row r="16" spans="2:15" x14ac:dyDescent="0.2">
      <c r="B16" s="22" t="s">
        <v>20</v>
      </c>
      <c r="C16" s="23"/>
      <c r="D16" s="26" t="str">
        <f>VLOOKUP(D14,Clientes!A1:F7,2,FALSE)</f>
        <v>Belén</v>
      </c>
      <c r="E16" s="27"/>
      <c r="F16" s="27"/>
      <c r="G16" s="27"/>
      <c r="H16" s="27"/>
      <c r="I16" s="28"/>
    </row>
    <row r="17" spans="2:9" x14ac:dyDescent="0.2">
      <c r="B17" s="22" t="s">
        <v>21</v>
      </c>
      <c r="C17" s="23"/>
      <c r="D17" s="26" t="str">
        <f>VLOOKUP(D14,Clientes!A1:F7,3,FALSE)</f>
        <v>Zapatero Zaplana</v>
      </c>
      <c r="E17" s="27"/>
      <c r="F17" s="27"/>
      <c r="G17" s="27"/>
      <c r="H17" s="27"/>
      <c r="I17" s="28"/>
    </row>
    <row r="18" spans="2:9" x14ac:dyDescent="0.2">
      <c r="B18" s="22" t="s">
        <v>24</v>
      </c>
      <c r="C18" s="23"/>
      <c r="D18" s="26" t="str">
        <f>VLOOKUP(D14,Clientes!A1:F7,4,FALSE)</f>
        <v>25252525-U</v>
      </c>
      <c r="E18" s="27"/>
      <c r="F18" s="27"/>
      <c r="G18" s="27"/>
      <c r="H18" s="27"/>
      <c r="I18" s="28"/>
    </row>
    <row r="19" spans="2:9" x14ac:dyDescent="0.2">
      <c r="B19" s="22" t="s">
        <v>22</v>
      </c>
      <c r="C19" s="23"/>
      <c r="D19" s="26" t="str">
        <f>VLOOKUP(D14,Clientes!A1:F7,5,FALSE)</f>
        <v>Calle Movida, 100</v>
      </c>
      <c r="E19" s="27"/>
      <c r="F19" s="27"/>
      <c r="G19" s="27"/>
      <c r="H19" s="27"/>
      <c r="I19" s="28"/>
    </row>
    <row r="20" spans="2:9" ht="13.5" thickBot="1" x14ac:dyDescent="0.25">
      <c r="B20" s="24" t="s">
        <v>23</v>
      </c>
      <c r="C20" s="25"/>
      <c r="D20" s="29" t="str">
        <f>VLOOKUP(D14,Clientes!A1:F7,6,FALSE)</f>
        <v>Madrid</v>
      </c>
      <c r="E20" s="30"/>
      <c r="F20" s="30"/>
      <c r="G20" s="30"/>
      <c r="H20" s="30"/>
      <c r="I20" s="31"/>
    </row>
    <row r="21" spans="2:9" ht="13.5" thickTop="1" x14ac:dyDescent="0.2"/>
  </sheetData>
  <mergeCells count="20">
    <mergeCell ref="B17:C17"/>
    <mergeCell ref="D17:I17"/>
    <mergeCell ref="D18:I18"/>
    <mergeCell ref="D19:I19"/>
    <mergeCell ref="D20:I20"/>
    <mergeCell ref="B18:C18"/>
    <mergeCell ref="B19:C19"/>
    <mergeCell ref="B20:C20"/>
    <mergeCell ref="B12:I12"/>
    <mergeCell ref="B14:C14"/>
    <mergeCell ref="D14:I14"/>
    <mergeCell ref="B15:C15"/>
    <mergeCell ref="D15:I15"/>
    <mergeCell ref="B16:C16"/>
    <mergeCell ref="D16:I16"/>
    <mergeCell ref="B3:I3"/>
    <mergeCell ref="B5:C5"/>
    <mergeCell ref="B6:C6"/>
    <mergeCell ref="B7:C7"/>
    <mergeCell ref="B8:C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_limpiarconsultas">
          <controlPr autoLine="0" autoPict="0" r:id="rId4">
            <anchor moveWithCells="1">
              <from>
                <xdr:col>11</xdr:col>
                <xdr:colOff>76200</xdr:colOff>
                <xdr:row>3</xdr:row>
                <xdr:rowOff>76200</xdr:rowOff>
              </from>
              <to>
                <xdr:col>12</xdr:col>
                <xdr:colOff>409575</xdr:colOff>
                <xdr:row>5</xdr:row>
                <xdr:rowOff>28575</xdr:rowOff>
              </to>
            </anchor>
          </controlPr>
        </control>
      </mc:Choice>
      <mc:Fallback>
        <control shapeId="1027" r:id="rId3" name="cmd_limpiarconsulta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Productos!$A$2:$A$18</xm:f>
          </x14:formula1>
          <xm:sqref>D5:I5</xm:sqref>
        </x14:dataValidation>
        <x14:dataValidation type="list" allowBlank="1" showInputMessage="1" showErrorMessage="1">
          <x14:formula1>
            <xm:f>Clientes!$A$2:$A$7</xm:f>
          </x14:formula1>
          <xm:sqref>D14:I14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H20"/>
  <sheetViews>
    <sheetView workbookViewId="0">
      <selection activeCell="C5" sqref="C5"/>
    </sheetView>
  </sheetViews>
  <sheetFormatPr baseColWidth="10" defaultRowHeight="12.75" x14ac:dyDescent="0.2"/>
  <cols>
    <col min="2" max="2" width="12.7109375" bestFit="1" customWidth="1"/>
  </cols>
  <sheetData>
    <row r="2" spans="2:8" ht="13.5" thickBot="1" x14ac:dyDescent="0.25"/>
    <row r="3" spans="2:8" x14ac:dyDescent="0.2">
      <c r="B3" s="35" t="s">
        <v>37</v>
      </c>
      <c r="C3" s="39" t="s">
        <v>42</v>
      </c>
      <c r="D3" s="36"/>
      <c r="E3" s="36"/>
      <c r="F3" s="37"/>
    </row>
    <row r="4" spans="2:8" ht="13.5" thickBot="1" x14ac:dyDescent="0.25">
      <c r="B4" s="38" t="s">
        <v>67</v>
      </c>
      <c r="C4" s="50">
        <f ca="1">TODAY()</f>
        <v>43787</v>
      </c>
      <c r="D4" s="51"/>
      <c r="E4" s="51"/>
      <c r="F4" s="52"/>
    </row>
    <row r="6" spans="2:8" ht="13.5" thickBot="1" x14ac:dyDescent="0.25"/>
    <row r="7" spans="2:8" ht="13.5" thickBot="1" x14ac:dyDescent="0.25">
      <c r="B7" s="40" t="s">
        <v>68</v>
      </c>
      <c r="C7" s="41"/>
      <c r="D7" s="41"/>
      <c r="E7" s="41"/>
      <c r="F7" s="41"/>
      <c r="G7" s="41"/>
      <c r="H7" s="42"/>
    </row>
    <row r="8" spans="2:8" ht="13.5" thickBot="1" x14ac:dyDescent="0.25">
      <c r="B8" s="43" t="s">
        <v>69</v>
      </c>
      <c r="C8" s="44" t="s">
        <v>1</v>
      </c>
      <c r="D8" s="45"/>
      <c r="E8" s="45"/>
      <c r="F8" s="46"/>
      <c r="G8" s="43" t="s">
        <v>2</v>
      </c>
      <c r="H8" s="43" t="s">
        <v>70</v>
      </c>
    </row>
    <row r="9" spans="2:8" ht="13.5" thickBot="1" x14ac:dyDescent="0.25">
      <c r="B9" s="113">
        <v>105</v>
      </c>
      <c r="C9" s="10" t="str">
        <f>_xlfn.IFNA(VLOOKUP(B9,Productos!$A$1:$C$18,2,FALSE),"")</f>
        <v>DVD Rom 12x Encore+Dxr3 Con Creative</v>
      </c>
      <c r="D9" s="11"/>
      <c r="E9" s="11"/>
      <c r="F9" s="12"/>
      <c r="G9" s="110">
        <f>_xlfn.IFNA(VLOOKUP(B9,Productos!$A$1:$C$18,3,FALSE),"")</f>
        <v>267.45038645078313</v>
      </c>
      <c r="H9" s="107">
        <v>1</v>
      </c>
    </row>
    <row r="10" spans="2:8" ht="13.5" thickBot="1" x14ac:dyDescent="0.25">
      <c r="B10" s="114">
        <v>108</v>
      </c>
      <c r="C10" s="10" t="str">
        <f>_xlfn.IFNA(VLOOKUP(B10,Productos!$A$1:$C$18,2,FALSE),"")</f>
        <v>Epson Perfection 610</v>
      </c>
      <c r="D10" s="11"/>
      <c r="E10" s="11"/>
      <c r="F10" s="12"/>
      <c r="G10" s="111">
        <f>_xlfn.IFNA(VLOOKUP(B10,Productos!$A$1:$C$18,3,FALSE),"")</f>
        <v>109.56450662916352</v>
      </c>
      <c r="H10" s="108">
        <v>1</v>
      </c>
    </row>
    <row r="11" spans="2:8" ht="13.5" thickBot="1" x14ac:dyDescent="0.25">
      <c r="B11" s="114">
        <v>110</v>
      </c>
      <c r="C11" s="10" t="str">
        <f>_xlfn.IFNA(VLOOKUP(B11,Productos!$A$1:$C$18,2,FALSE),"")</f>
        <v>Compacq Presario 1400 XI352 Celeron 
600 Mhz</v>
      </c>
      <c r="D11" s="11"/>
      <c r="E11" s="11"/>
      <c r="F11" s="12"/>
      <c r="G11" s="111">
        <f>_xlfn.IFNA(VLOOKUP(B11,Productos!$A$1:$C$18,3,FALSE),"")</f>
        <v>2132.9919584580434</v>
      </c>
      <c r="H11" s="108">
        <v>2</v>
      </c>
    </row>
    <row r="12" spans="2:8" x14ac:dyDescent="0.2">
      <c r="B12" s="114">
        <v>103</v>
      </c>
      <c r="C12" s="103" t="str">
        <f>_xlfn.IFNA(VLOOKUP(B12,Productos!$A$1:$C$18,2,FALSE),"")</f>
        <v>Reposamuñecas Boeder</v>
      </c>
      <c r="D12" s="47"/>
      <c r="E12" s="47"/>
      <c r="F12" s="104"/>
      <c r="G12" s="111">
        <f>_xlfn.IFNA(VLOOKUP(B12,Productos!$A$1:$C$18,3,FALSE),"")</f>
        <v>3.1192528217518301</v>
      </c>
      <c r="H12" s="108">
        <v>1</v>
      </c>
    </row>
    <row r="13" spans="2:8" x14ac:dyDescent="0.2">
      <c r="B13" s="114">
        <v>116</v>
      </c>
      <c r="C13" s="101" t="str">
        <f>_xlfn.IFNA(VLOOKUP(B13,Productos!$A$1:$C$18,2,FALSE),"")</f>
        <v>Ratón boeder 205</v>
      </c>
      <c r="D13" s="48"/>
      <c r="E13" s="48"/>
      <c r="F13" s="102"/>
      <c r="G13" s="111">
        <f>_xlfn.IFNA(VLOOKUP(B13,Productos!$A$1:$C$18,3,FALSE),"")</f>
        <v>9.015181565756734</v>
      </c>
      <c r="H13" s="108">
        <v>2</v>
      </c>
    </row>
    <row r="14" spans="2:8" x14ac:dyDescent="0.2">
      <c r="B14" s="114">
        <v>101</v>
      </c>
      <c r="C14" s="101" t="str">
        <f>_xlfn.IFNA(VLOOKUP(B14,Productos!$A$1:$C$18,2,FALSE),"")</f>
        <v>Packard Bell SPIRIT II 9800</v>
      </c>
      <c r="D14" s="48"/>
      <c r="E14" s="48"/>
      <c r="F14" s="102"/>
      <c r="G14" s="111">
        <f>_xlfn.IFNA(VLOOKUP(B14,Productos!$A$1:$C$18,3,FALSE),"")</f>
        <v>2797.6812953012873</v>
      </c>
      <c r="H14" s="108">
        <v>1</v>
      </c>
    </row>
    <row r="15" spans="2:8" x14ac:dyDescent="0.2">
      <c r="B15" s="114">
        <v>111</v>
      </c>
      <c r="C15" s="101" t="str">
        <f>_xlfn.IFNA(VLOOKUP(B15,Productos!$A$1:$C$18,2,FALSE),"")</f>
        <v>iMac DV Special Edition a 500 Mhz.</v>
      </c>
      <c r="D15" s="48"/>
      <c r="E15" s="48"/>
      <c r="F15" s="102"/>
      <c r="G15" s="111">
        <f>_xlfn.IFNA(VLOOKUP(B15,Productos!$A$1:$C$18,3,FALSE),"")</f>
        <v>1472.4796557402667</v>
      </c>
      <c r="H15" s="108">
        <v>1</v>
      </c>
    </row>
    <row r="16" spans="2:8" x14ac:dyDescent="0.2">
      <c r="B16" s="114">
        <v>112</v>
      </c>
      <c r="C16" s="101" t="str">
        <f>_xlfn.IFNA(VLOOKUP(B16,Productos!$A$1:$C$18,2,FALSE),"")</f>
        <v>Toshiba Equium 3300 Intel Pentium III</v>
      </c>
      <c r="D16" s="48"/>
      <c r="E16" s="48"/>
      <c r="F16" s="102"/>
      <c r="G16" s="111">
        <f>_xlfn.IFNA(VLOOKUP(B16,Productos!$A$1:$C$18,3,FALSE),"")</f>
        <v>1291.5750123207481</v>
      </c>
      <c r="H16" s="108">
        <v>1</v>
      </c>
    </row>
    <row r="17" spans="2:8" x14ac:dyDescent="0.2">
      <c r="B17" s="114">
        <v>115</v>
      </c>
      <c r="C17" s="101" t="str">
        <f>_xlfn.IFNA(VLOOKUP(B17,Productos!$A$1:$C$18,2,FALSE),"")</f>
        <v>Lexmark Z 32 Inyección tinta</v>
      </c>
      <c r="D17" s="48"/>
      <c r="E17" s="48"/>
      <c r="F17" s="102"/>
      <c r="G17" s="111">
        <f>_xlfn.IFNA(VLOOKUP(B17,Productos!$A$1:$C$18,3,FALSE),"")</f>
        <v>107.58116668469704</v>
      </c>
      <c r="H17" s="108">
        <v>1</v>
      </c>
    </row>
    <row r="18" spans="2:8" x14ac:dyDescent="0.2">
      <c r="B18" s="114">
        <v>117</v>
      </c>
      <c r="C18" s="101" t="str">
        <f>_xlfn.IFNA(VLOOKUP(B18,Productos!$A$1:$C$18,2,FALSE),"")</f>
        <v>Cable Impresora bidireccional</v>
      </c>
      <c r="D18" s="48"/>
      <c r="E18" s="48"/>
      <c r="F18" s="102"/>
      <c r="G18" s="111">
        <f>_xlfn.IFNA(VLOOKUP(B18,Productos!$A$1:$C$18,3,FALSE),"")</f>
        <v>7.2121452526053877</v>
      </c>
      <c r="H18" s="108">
        <v>3</v>
      </c>
    </row>
    <row r="19" spans="2:8" x14ac:dyDescent="0.2">
      <c r="B19" s="114"/>
      <c r="C19" s="101" t="str">
        <f>_xlfn.IFNA(VLOOKUP(B19,Productos!$A$1:$C$18,2,FALSE),"")</f>
        <v/>
      </c>
      <c r="D19" s="48"/>
      <c r="E19" s="48"/>
      <c r="F19" s="102"/>
      <c r="G19" s="111" t="str">
        <f>_xlfn.IFNA(VLOOKUP(B19,Productos!$A$1:$C$18,3,FALSE),"")</f>
        <v/>
      </c>
      <c r="H19" s="108"/>
    </row>
    <row r="20" spans="2:8" ht="13.5" thickBot="1" x14ac:dyDescent="0.25">
      <c r="B20" s="115"/>
      <c r="C20" s="105" t="str">
        <f>_xlfn.IFNA(VLOOKUP(B20,Productos!$A$1:$C$18,2,FALSE),"")</f>
        <v/>
      </c>
      <c r="D20" s="49"/>
      <c r="E20" s="49"/>
      <c r="F20" s="106"/>
      <c r="G20" s="112" t="str">
        <f>_xlfn.IFNA(VLOOKUP(B20,Productos!$A$1:$C$18,3,FALSE),"")</f>
        <v/>
      </c>
      <c r="H20" s="109"/>
    </row>
  </sheetData>
  <mergeCells count="16">
    <mergeCell ref="C17:F17"/>
    <mergeCell ref="C18:F18"/>
    <mergeCell ref="C19:F19"/>
    <mergeCell ref="C20:F20"/>
    <mergeCell ref="C11:F11"/>
    <mergeCell ref="C12:F12"/>
    <mergeCell ref="C13:F13"/>
    <mergeCell ref="C14:F14"/>
    <mergeCell ref="C15:F15"/>
    <mergeCell ref="C16:F16"/>
    <mergeCell ref="C3:F3"/>
    <mergeCell ref="C4:F4"/>
    <mergeCell ref="B7:H7"/>
    <mergeCell ref="C8:F8"/>
    <mergeCell ref="C9:F9"/>
    <mergeCell ref="C10:F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Clientes!$A$2:$A$7</xm:f>
          </x14:formula1>
          <xm:sqref>C3:F3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I34"/>
  <sheetViews>
    <sheetView workbookViewId="0">
      <selection activeCell="O38" sqref="O38"/>
    </sheetView>
  </sheetViews>
  <sheetFormatPr baseColWidth="10" defaultRowHeight="12.75" x14ac:dyDescent="0.2"/>
  <cols>
    <col min="9" max="9" width="12.28515625" bestFit="1" customWidth="1"/>
  </cols>
  <sheetData>
    <row r="1" spans="2:9" ht="13.5" thickBot="1" x14ac:dyDescent="0.25"/>
    <row r="2" spans="2:9" x14ac:dyDescent="0.2">
      <c r="B2" s="53" t="s">
        <v>71</v>
      </c>
      <c r="C2" s="54"/>
      <c r="D2" s="54"/>
      <c r="E2" s="54"/>
      <c r="F2" s="54"/>
      <c r="G2" s="54"/>
      <c r="H2" s="55"/>
    </row>
    <row r="3" spans="2:9" x14ac:dyDescent="0.2">
      <c r="B3" s="56"/>
      <c r="C3" s="57"/>
      <c r="D3" s="57"/>
      <c r="E3" s="57"/>
      <c r="F3" s="57"/>
      <c r="G3" s="57"/>
      <c r="H3" s="58"/>
    </row>
    <row r="4" spans="2:9" x14ac:dyDescent="0.2">
      <c r="B4" s="56"/>
      <c r="C4" s="57"/>
      <c r="D4" s="57"/>
      <c r="E4" s="57"/>
      <c r="F4" s="57"/>
      <c r="G4" s="57"/>
      <c r="H4" s="58"/>
    </row>
    <row r="5" spans="2:9" ht="13.5" thickBot="1" x14ac:dyDescent="0.25">
      <c r="B5" s="59"/>
      <c r="C5" s="60"/>
      <c r="D5" s="60"/>
      <c r="E5" s="60"/>
      <c r="F5" s="60"/>
      <c r="G5" s="60"/>
      <c r="H5" s="61"/>
    </row>
    <row r="6" spans="2:9" ht="13.5" thickBot="1" x14ac:dyDescent="0.25"/>
    <row r="7" spans="2:9" x14ac:dyDescent="0.2">
      <c r="C7" s="85" t="s">
        <v>72</v>
      </c>
      <c r="D7" s="86" t="str">
        <f>Albarán!C3</f>
        <v>C05</v>
      </c>
      <c r="E7" s="87"/>
    </row>
    <row r="8" spans="2:9" x14ac:dyDescent="0.2">
      <c r="C8" s="88" t="str">
        <f>CONCATENATE(VLOOKUP(D7,Clientes!A1:F7,2,FALSE)," ",VLOOKUP(D7,Clientes!A1:F7,3,FALSE))</f>
        <v>Antonio Molina Sánchez</v>
      </c>
      <c r="D8" s="89"/>
      <c r="E8" s="90"/>
    </row>
    <row r="9" spans="2:9" x14ac:dyDescent="0.2">
      <c r="C9" s="88" t="str">
        <f>VLOOKUP(D7,Clientes!A1:F7,5,FALSE)</f>
        <v>Calle Trinidad, 24</v>
      </c>
      <c r="D9" s="91"/>
      <c r="E9" s="92"/>
    </row>
    <row r="10" spans="2:9" x14ac:dyDescent="0.2">
      <c r="C10" s="88" t="str">
        <f>VLOOKUP(D7,Clientes!A1:F7,6,FALSE)</f>
        <v>Barcelona</v>
      </c>
      <c r="D10" s="91"/>
      <c r="E10" s="92"/>
    </row>
    <row r="11" spans="2:9" ht="13.5" thickBot="1" x14ac:dyDescent="0.25">
      <c r="C11" s="93" t="str">
        <f>VLOOKUP(D7,Clientes!A1:F7,4,FALSE)</f>
        <v>36363636-L</v>
      </c>
      <c r="D11" s="94"/>
      <c r="E11" s="95"/>
    </row>
    <row r="12" spans="2:9" ht="13.5" thickBot="1" x14ac:dyDescent="0.25"/>
    <row r="13" spans="2:9" ht="13.5" thickBot="1" x14ac:dyDescent="0.25">
      <c r="B13" s="63" t="s">
        <v>69</v>
      </c>
      <c r="C13" s="65" t="s">
        <v>73</v>
      </c>
      <c r="D13" s="65"/>
      <c r="E13" s="65"/>
      <c r="F13" s="66" t="s">
        <v>2</v>
      </c>
      <c r="G13" s="65" t="s">
        <v>70</v>
      </c>
      <c r="H13" s="65"/>
      <c r="I13" s="67" t="s">
        <v>74</v>
      </c>
    </row>
    <row r="14" spans="2:9" x14ac:dyDescent="0.2">
      <c r="B14" s="116">
        <f>IF(Albarán!B9=0,"",Albarán!B9)</f>
        <v>105</v>
      </c>
      <c r="C14" s="72" t="str">
        <f>_xlfn.IFNA(VLOOKUP(B14,Productos!$A$1:$C$18,2,FALSE),"")</f>
        <v>DVD Rom 12x Encore+Dxr3 Con Creative</v>
      </c>
      <c r="D14" s="73"/>
      <c r="E14" s="74"/>
      <c r="F14" s="68">
        <f>_xlfn.IFNA(VLOOKUP(B14,Productos!$A$1:$C$18,3,FALSE),"")</f>
        <v>267.45038645078313</v>
      </c>
      <c r="G14" s="70">
        <f>Albarán!H9</f>
        <v>1</v>
      </c>
      <c r="H14" s="71"/>
      <c r="I14" s="98">
        <f>F14*G14</f>
        <v>267.45038645078313</v>
      </c>
    </row>
    <row r="15" spans="2:9" x14ac:dyDescent="0.2">
      <c r="B15" s="117">
        <f>IF(Albarán!B10=0,"",Albarán!B10)</f>
        <v>108</v>
      </c>
      <c r="C15" s="77" t="str">
        <f>_xlfn.IFNA(VLOOKUP(B15,Productos!$A$1:$C$18,2,FALSE),"")</f>
        <v>Epson Perfection 610</v>
      </c>
      <c r="D15" s="19"/>
      <c r="E15" s="78"/>
      <c r="F15" s="64">
        <f>_xlfn.IFNA(VLOOKUP(B15,Productos!$A$1:$C$18,3,FALSE),"")</f>
        <v>109.56450662916352</v>
      </c>
      <c r="G15" s="75">
        <f>Albarán!H10</f>
        <v>1</v>
      </c>
      <c r="H15" s="76"/>
      <c r="I15" s="99">
        <f t="shared" ref="I15:I24" si="0">F15*G15</f>
        <v>109.56450662916352</v>
      </c>
    </row>
    <row r="16" spans="2:9" x14ac:dyDescent="0.2">
      <c r="B16" s="117">
        <f>IF(Albarán!B11=0,"",Albarán!B11)</f>
        <v>110</v>
      </c>
      <c r="C16" s="77" t="str">
        <f>_xlfn.IFNA(VLOOKUP(B16,Productos!$A$1:$C$18,2,FALSE),"")</f>
        <v>Compacq Presario 1400 XI352 Celeron 
600 Mhz</v>
      </c>
      <c r="D16" s="19"/>
      <c r="E16" s="78"/>
      <c r="F16" s="64">
        <f>_xlfn.IFNA(VLOOKUP(B16,Productos!$A$1:$C$18,3,FALSE),"")</f>
        <v>2132.9919584580434</v>
      </c>
      <c r="G16" s="75">
        <f>Albarán!H11</f>
        <v>2</v>
      </c>
      <c r="H16" s="76"/>
      <c r="I16" s="99">
        <f t="shared" si="0"/>
        <v>4265.9839169160869</v>
      </c>
    </row>
    <row r="17" spans="2:9" x14ac:dyDescent="0.2">
      <c r="B17" s="117">
        <f>IF(Albarán!B12=0,"",Albarán!B12)</f>
        <v>103</v>
      </c>
      <c r="C17" s="77" t="str">
        <f>_xlfn.IFNA(VLOOKUP(B17,Productos!$A$1:$C$18,2,FALSE),"")</f>
        <v>Reposamuñecas Boeder</v>
      </c>
      <c r="D17" s="19"/>
      <c r="E17" s="78"/>
      <c r="F17" s="64">
        <f>_xlfn.IFNA(VLOOKUP(B17,Productos!$A$1:$C$18,3,FALSE),"")</f>
        <v>3.1192528217518301</v>
      </c>
      <c r="G17" s="75">
        <f>Albarán!H12</f>
        <v>1</v>
      </c>
      <c r="H17" s="76"/>
      <c r="I17" s="99">
        <f t="shared" si="0"/>
        <v>3.1192528217518301</v>
      </c>
    </row>
    <row r="18" spans="2:9" x14ac:dyDescent="0.2">
      <c r="B18" s="117">
        <f>IF(Albarán!B13=0,"",Albarán!B13)</f>
        <v>116</v>
      </c>
      <c r="C18" s="77" t="str">
        <f>_xlfn.IFNA(VLOOKUP(B18,Productos!$A$1:$C$18,2,FALSE),"")</f>
        <v>Ratón boeder 205</v>
      </c>
      <c r="D18" s="19"/>
      <c r="E18" s="78"/>
      <c r="F18" s="64">
        <f>_xlfn.IFNA(VLOOKUP(B18,Productos!$A$1:$C$18,3,FALSE),"")</f>
        <v>9.015181565756734</v>
      </c>
      <c r="G18" s="75">
        <f>Albarán!H13</f>
        <v>2</v>
      </c>
      <c r="H18" s="76"/>
      <c r="I18" s="99">
        <f t="shared" si="0"/>
        <v>18.030363131513468</v>
      </c>
    </row>
    <row r="19" spans="2:9" x14ac:dyDescent="0.2">
      <c r="B19" s="117">
        <f>IF(Albarán!B14=0,"",Albarán!B14)</f>
        <v>101</v>
      </c>
      <c r="C19" s="77" t="str">
        <f>_xlfn.IFNA(VLOOKUP(B19,Productos!$A$1:$C$18,2,FALSE),"")</f>
        <v>Packard Bell SPIRIT II 9800</v>
      </c>
      <c r="D19" s="19"/>
      <c r="E19" s="78"/>
      <c r="F19" s="64">
        <f>_xlfn.IFNA(VLOOKUP(B19,Productos!$A$1:$C$18,3,FALSE),"")</f>
        <v>2797.6812953012873</v>
      </c>
      <c r="G19" s="75">
        <f>Albarán!H14</f>
        <v>1</v>
      </c>
      <c r="H19" s="76"/>
      <c r="I19" s="99">
        <f t="shared" si="0"/>
        <v>2797.6812953012873</v>
      </c>
    </row>
    <row r="20" spans="2:9" x14ac:dyDescent="0.2">
      <c r="B20" s="117">
        <f>IF(Albarán!B15=0,"",Albarán!B15)</f>
        <v>111</v>
      </c>
      <c r="C20" s="77" t="str">
        <f>_xlfn.IFNA(VLOOKUP(B20,Productos!$A$1:$C$18,2,FALSE),"")</f>
        <v>iMac DV Special Edition a 500 Mhz.</v>
      </c>
      <c r="D20" s="19"/>
      <c r="E20" s="78"/>
      <c r="F20" s="64">
        <f>_xlfn.IFNA(VLOOKUP(B20,Productos!$A$1:$C$18,3,FALSE),"")</f>
        <v>1472.4796557402667</v>
      </c>
      <c r="G20" s="75">
        <f>Albarán!H15</f>
        <v>1</v>
      </c>
      <c r="H20" s="76"/>
      <c r="I20" s="99">
        <f t="shared" si="0"/>
        <v>1472.4796557402667</v>
      </c>
    </row>
    <row r="21" spans="2:9" x14ac:dyDescent="0.2">
      <c r="B21" s="117">
        <f>IF(Albarán!B16=0,"",Albarán!B16)</f>
        <v>112</v>
      </c>
      <c r="C21" s="77" t="str">
        <f>_xlfn.IFNA(VLOOKUP(B21,Productos!$A$1:$C$18,2,FALSE),"")</f>
        <v>Toshiba Equium 3300 Intel Pentium III</v>
      </c>
      <c r="D21" s="19"/>
      <c r="E21" s="78"/>
      <c r="F21" s="64">
        <f>_xlfn.IFNA(VLOOKUP(B21,Productos!$A$1:$C$18,3,FALSE),"")</f>
        <v>1291.5750123207481</v>
      </c>
      <c r="G21" s="75">
        <f>Albarán!H16</f>
        <v>1</v>
      </c>
      <c r="H21" s="76"/>
      <c r="I21" s="99">
        <f t="shared" si="0"/>
        <v>1291.5750123207481</v>
      </c>
    </row>
    <row r="22" spans="2:9" x14ac:dyDescent="0.2">
      <c r="B22" s="117">
        <f>IF(Albarán!B17=0,"",Albarán!B17)</f>
        <v>115</v>
      </c>
      <c r="C22" s="77" t="str">
        <f>_xlfn.IFNA(VLOOKUP(B22,Productos!$A$1:$C$18,2,FALSE),"")</f>
        <v>Lexmark Z 32 Inyección tinta</v>
      </c>
      <c r="D22" s="19"/>
      <c r="E22" s="78"/>
      <c r="F22" s="64">
        <f>_xlfn.IFNA(VLOOKUP(B22,Productos!$A$1:$C$18,3,FALSE),"")</f>
        <v>107.58116668469704</v>
      </c>
      <c r="G22" s="75">
        <f>Albarán!H17</f>
        <v>1</v>
      </c>
      <c r="H22" s="76"/>
      <c r="I22" s="99">
        <f t="shared" si="0"/>
        <v>107.58116668469704</v>
      </c>
    </row>
    <row r="23" spans="2:9" x14ac:dyDescent="0.2">
      <c r="B23" s="117">
        <f>IF(Albarán!B18=0,"",Albarán!B18)</f>
        <v>117</v>
      </c>
      <c r="C23" s="77" t="str">
        <f>_xlfn.IFNA(VLOOKUP(B23,Productos!$A$1:$C$18,2,FALSE),"")</f>
        <v>Cable Impresora bidireccional</v>
      </c>
      <c r="D23" s="19"/>
      <c r="E23" s="78"/>
      <c r="F23" s="64">
        <f>_xlfn.IFNA(VLOOKUP(B23,Productos!$A$1:$C$18,3,FALSE),"")</f>
        <v>7.2121452526053877</v>
      </c>
      <c r="G23" s="75">
        <f>Albarán!H18</f>
        <v>3</v>
      </c>
      <c r="H23" s="76"/>
      <c r="I23" s="99">
        <f t="shared" si="0"/>
        <v>21.636435757816162</v>
      </c>
    </row>
    <row r="24" spans="2:9" ht="13.5" thickBot="1" x14ac:dyDescent="0.25">
      <c r="B24" s="118" t="str">
        <f>IF(Albarán!B19=0,"",Albarán!B19)</f>
        <v/>
      </c>
      <c r="C24" s="81" t="str">
        <f>_xlfn.IFNA(VLOOKUP(B24,Productos!$A$1:$C$18,2,FALSE),"")</f>
        <v/>
      </c>
      <c r="D24" s="62"/>
      <c r="E24" s="82"/>
      <c r="F24" s="69" t="str">
        <f>_xlfn.IFNA(VLOOKUP(B24,Productos!$A$1:$C$18,3,FALSE),"")</f>
        <v/>
      </c>
      <c r="G24" s="79" t="str">
        <f>IF(Albarán!H19=0,"",Albarán!H19)</f>
        <v/>
      </c>
      <c r="H24" s="80"/>
      <c r="I24" s="100" t="str">
        <f>IFERROR(F24*G24,"")</f>
        <v/>
      </c>
    </row>
    <row r="27" spans="2:9" x14ac:dyDescent="0.2">
      <c r="G27" s="96" t="s">
        <v>75</v>
      </c>
      <c r="I27" s="97">
        <f>SUM(I14:I24)</f>
        <v>10355.101991754113</v>
      </c>
    </row>
    <row r="28" spans="2:9" x14ac:dyDescent="0.2">
      <c r="G28" s="96" t="s">
        <v>76</v>
      </c>
      <c r="I28" s="119">
        <f>IF(I27*166.386&gt;1000000,20%,IF(AND(I27*166.386&lt;1000000,I27*166.386&gt;=500000),15%,IF(AND(I27*166.386&lt;500000,I27*166.386&gt;=250000),10%,5%)))</f>
        <v>0.2</v>
      </c>
    </row>
    <row r="29" spans="2:9" x14ac:dyDescent="0.2">
      <c r="G29" s="96" t="s">
        <v>77</v>
      </c>
      <c r="I29" s="121">
        <v>0.16</v>
      </c>
    </row>
    <row r="30" spans="2:9" x14ac:dyDescent="0.2">
      <c r="G30" s="96" t="s">
        <v>78</v>
      </c>
      <c r="I30" s="97">
        <f>I27+(I27-(I27*I28))*16%</f>
        <v>11680.555046698639</v>
      </c>
    </row>
    <row r="32" spans="2:9" ht="13.5" thickBot="1" x14ac:dyDescent="0.25"/>
    <row r="33" spans="2:6" ht="13.5" thickBot="1" x14ac:dyDescent="0.25">
      <c r="B33" s="83" t="s">
        <v>79</v>
      </c>
      <c r="C33" s="84"/>
      <c r="D33" s="84"/>
      <c r="E33" s="84"/>
      <c r="F33" s="120">
        <f>SUM(G14:H24)</f>
        <v>14</v>
      </c>
    </row>
    <row r="34" spans="2:6" ht="13.5" thickBot="1" x14ac:dyDescent="0.25">
      <c r="B34" s="122">
        <f ca="1">Albarán!C4</f>
        <v>43787</v>
      </c>
      <c r="C34" s="123"/>
      <c r="D34" s="123"/>
      <c r="E34" s="123"/>
      <c r="F34" s="124"/>
    </row>
  </sheetData>
  <mergeCells count="32">
    <mergeCell ref="G19:H19"/>
    <mergeCell ref="G20:H20"/>
    <mergeCell ref="G21:H21"/>
    <mergeCell ref="G22:H22"/>
    <mergeCell ref="G23:H23"/>
    <mergeCell ref="G24:H24"/>
    <mergeCell ref="C24:E24"/>
    <mergeCell ref="B34:F34"/>
    <mergeCell ref="B33:E33"/>
    <mergeCell ref="D7:E7"/>
    <mergeCell ref="G14:H14"/>
    <mergeCell ref="G15:H15"/>
    <mergeCell ref="G16:H16"/>
    <mergeCell ref="G17:H17"/>
    <mergeCell ref="G18:H18"/>
    <mergeCell ref="C18:E18"/>
    <mergeCell ref="C19:E19"/>
    <mergeCell ref="C20:E20"/>
    <mergeCell ref="C21:E21"/>
    <mergeCell ref="C22:E22"/>
    <mergeCell ref="C23:E23"/>
    <mergeCell ref="C13:E13"/>
    <mergeCell ref="G13:H13"/>
    <mergeCell ref="C14:E14"/>
    <mergeCell ref="C15:E15"/>
    <mergeCell ref="C16:E16"/>
    <mergeCell ref="C17:E17"/>
    <mergeCell ref="B2:H5"/>
    <mergeCell ref="C8:E8"/>
    <mergeCell ref="C9:E9"/>
    <mergeCell ref="C10:E10"/>
    <mergeCell ref="C11:E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Productos</vt:lpstr>
      <vt:lpstr>Clientes</vt:lpstr>
      <vt:lpstr>Consulta</vt:lpstr>
      <vt:lpstr>Albarán</vt:lpstr>
      <vt:lpstr>Factura</vt:lpstr>
      <vt:lpstr>Clientes</vt:lpstr>
      <vt:lpstr>Productos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Miguel</cp:lastModifiedBy>
  <dcterms:created xsi:type="dcterms:W3CDTF">2006-06-16T07:27:25Z</dcterms:created>
  <dcterms:modified xsi:type="dcterms:W3CDTF">2019-11-18T13:06:13Z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8c5a3583-f3bb-4f42-95f9-2375c870bacf</vt:lpwstr>
  </property>
</Properties>
</file>